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=H 0=L" sheetId="1" r:id="rId4"/>
    <sheet state="visible" name="All Time High" sheetId="2" r:id="rId5"/>
    <sheet state="visible" name="Volume Buzzer" sheetId="3" r:id="rId6"/>
    <sheet state="visible" name="FiiDii Activity" sheetId="4" r:id="rId7"/>
    <sheet state="visible" name="Manu" sheetId="5" r:id="rId8"/>
    <sheet state="visible" name="Sheet6" sheetId="6" r:id="rId9"/>
  </sheets>
  <definedNames/>
  <calcPr/>
</workbook>
</file>

<file path=xl/sharedStrings.xml><?xml version="1.0" encoding="utf-8"?>
<sst xmlns="http://schemas.openxmlformats.org/spreadsheetml/2006/main" count="497" uniqueCount="363">
  <si>
    <t>@TradewithBaniya</t>
  </si>
  <si>
    <t>LINK</t>
  </si>
  <si>
    <t>List of NIFTY 500 Stock that closed OPEN = HIGH Price.</t>
  </si>
  <si>
    <t>List of NIFTY 500 Stock that closed OPEN = LOW Price.</t>
  </si>
  <si>
    <t>OPEN = HIGH</t>
  </si>
  <si>
    <t>https://chartink.com/screener/copy-open-high-5911</t>
  </si>
  <si>
    <t>SHARE</t>
  </si>
  <si>
    <t>OPEN</t>
  </si>
  <si>
    <t>HIGH</t>
  </si>
  <si>
    <t>LOW</t>
  </si>
  <si>
    <t>Volume</t>
  </si>
  <si>
    <t>OPEN = LOW</t>
  </si>
  <si>
    <t>https://chartink.com/screener/copy-open-low-103152</t>
  </si>
  <si>
    <t>OFSS</t>
  </si>
  <si>
    <t>ASTRAL</t>
  </si>
  <si>
    <t>SHRIRAMFIN</t>
  </si>
  <si>
    <t xml:space="preserve">Result Calendar </t>
  </si>
  <si>
    <t>https://web.sensibull.com/stock-market-calendar/stock-results-calendar</t>
  </si>
  <si>
    <t>COLPAL</t>
  </si>
  <si>
    <t>BATAINDIA</t>
  </si>
  <si>
    <t>INFY</t>
  </si>
  <si>
    <t>CHOLAFIN</t>
  </si>
  <si>
    <t>GODREJCP</t>
  </si>
  <si>
    <t>RAMCOCEM</t>
  </si>
  <si>
    <t>LUPIN</t>
  </si>
  <si>
    <t>Results Today (06 Nov2025)</t>
  </si>
  <si>
    <t>ABB India Ltd. (ABB)</t>
  </si>
  <si>
    <t>Stock Results (Q2)</t>
  </si>
  <si>
    <t>Cummins India Ltd. (CUMMINSIND)</t>
  </si>
  <si>
    <t>Cholamandalam Inv. &amp; Fin. Co. Ltd. (CHOLAFIN)</t>
  </si>
  <si>
    <t>Crompton Greaves Consumer Electricals Ltd. (CROMPTON)</t>
  </si>
  <si>
    <t>Apollo Hospitals Ent. Ltd. (APOLLOHOSP)</t>
  </si>
  <si>
    <t>Multi Commodity Exchange of India Ltd. (MCX)</t>
  </si>
  <si>
    <t>Godrej Properties Ltd. (GODREJPROP)</t>
  </si>
  <si>
    <t>Life Insurance Corp. Of India (LICI)</t>
  </si>
  <si>
    <t>NHPC Ltd. (NHPC)</t>
  </si>
  <si>
    <t>Lupin Ltd. (LUPIN)</t>
  </si>
  <si>
    <t>NCC Ltd. (NCC)</t>
  </si>
  <si>
    <t>Mankind Pharma Ltd. (MANKIND)</t>
  </si>
  <si>
    <t>UPL Ltd. (UPL)</t>
  </si>
  <si>
    <t>Zydus Lifesciences Ltd. (ZYDUSLIFE)</t>
  </si>
  <si>
    <t>Amber Enterprises India Ltd. (AMBER)</t>
  </si>
  <si>
    <t>TradewithBaniya</t>
  </si>
  <si>
    <t>F&amp;O Stocks Closed Above Their Previous 52 High.</t>
  </si>
  <si>
    <t>Cash Stocks Closed near All Time High (ATH)</t>
  </si>
  <si>
    <t>Symbol</t>
  </si>
  <si>
    <t>Today Close</t>
  </si>
  <si>
    <t>HAL</t>
  </si>
  <si>
    <t>UGARSUGAR</t>
  </si>
  <si>
    <t>POWERMECH</t>
  </si>
  <si>
    <t>Category</t>
  </si>
  <si>
    <t>Link</t>
  </si>
  <si>
    <t>TITAN</t>
  </si>
  <si>
    <t>IDFCFIRSTB</t>
  </si>
  <si>
    <t>HSCL</t>
  </si>
  <si>
    <t>Fno</t>
  </si>
  <si>
    <t>https://chartink.com/screener/copy-all-time-high-stocks-11214</t>
  </si>
  <si>
    <t>CUMMINSIND</t>
  </si>
  <si>
    <t>SMLISUZU</t>
  </si>
  <si>
    <t>PRECAM</t>
  </si>
  <si>
    <t>Cash</t>
  </si>
  <si>
    <t>https://chartink.com/screener/copy-all-time-high-stocks-11213</t>
  </si>
  <si>
    <t>WENDT</t>
  </si>
  <si>
    <t>INGERRAND</t>
  </si>
  <si>
    <t>Nifty 500</t>
  </si>
  <si>
    <t>https://chartink.com/screener/nifty-500-all-time-high-stocks-6</t>
  </si>
  <si>
    <t>ITC</t>
  </si>
  <si>
    <t>BEL</t>
  </si>
  <si>
    <t>APOLLO</t>
  </si>
  <si>
    <t>M&amp;MFIN</t>
  </si>
  <si>
    <t>IDFC</t>
  </si>
  <si>
    <t>JSL</t>
  </si>
  <si>
    <t>BANKBARODA</t>
  </si>
  <si>
    <t>INDHOTEL</t>
  </si>
  <si>
    <t>BLKASHYAP</t>
  </si>
  <si>
    <t>Extra Links</t>
  </si>
  <si>
    <t>https://www.nseindia.com/market-data/52-week-high-equity-market</t>
  </si>
  <si>
    <t>ABCAPITAL</t>
  </si>
  <si>
    <t>TRITURBINE</t>
  </si>
  <si>
    <t>OLECTRA</t>
  </si>
  <si>
    <t>https://www.nseindia.com/market-data/52-week-low-equity-market</t>
  </si>
  <si>
    <t>ASHOKLEY</t>
  </si>
  <si>
    <t>LUMAXIND</t>
  </si>
  <si>
    <t>CORDSCABLE</t>
  </si>
  <si>
    <t>PCBL</t>
  </si>
  <si>
    <t>SAKSOFT</t>
  </si>
  <si>
    <t>TWL</t>
  </si>
  <si>
    <t>HILTON</t>
  </si>
  <si>
    <t>PIIND</t>
  </si>
  <si>
    <t>JWL</t>
  </si>
  <si>
    <t>SARDAEN</t>
  </si>
  <si>
    <t>KIRLOSIND</t>
  </si>
  <si>
    <t>BRITANNIA</t>
  </si>
  <si>
    <t>NIFTY 500 Cash Stocks Closed Above Their Previous 52 High.</t>
  </si>
  <si>
    <t>ZFCVINDIA</t>
  </si>
  <si>
    <t>JBCHEPHARM</t>
  </si>
  <si>
    <t>RAYMOND</t>
  </si>
  <si>
    <t>CYIENT</t>
  </si>
  <si>
    <t>CREDITACC</t>
  </si>
  <si>
    <t>BDL</t>
  </si>
  <si>
    <t>JBMA</t>
  </si>
  <si>
    <t>CHOLAHLDNG</t>
  </si>
  <si>
    <t>SHOPERSTOP</t>
  </si>
  <si>
    <t>CCL</t>
  </si>
  <si>
    <t>BRIGADE</t>
  </si>
  <si>
    <t>KEC</t>
  </si>
  <si>
    <t>High-Volume Stocks with 2Cr+ Trading Volume.</t>
  </si>
  <si>
    <t>ALOKINDS</t>
  </si>
  <si>
    <t>https://chartink.com/screener/copy-day-volume-above-2-crore</t>
  </si>
  <si>
    <t>SUZLON</t>
  </si>
  <si>
    <t>RPOWER</t>
  </si>
  <si>
    <t>YESBANK</t>
  </si>
  <si>
    <t>ZOMATO</t>
  </si>
  <si>
    <t>IDEA</t>
  </si>
  <si>
    <t>BHEL</t>
  </si>
  <si>
    <t>MRPL</t>
  </si>
  <si>
    <t>PNB</t>
  </si>
  <si>
    <t>TATASTEEL</t>
  </si>
  <si>
    <t>NYKAA</t>
  </si>
  <si>
    <t>KALYANKJIL</t>
  </si>
  <si>
    <t>JPPOWER</t>
  </si>
  <si>
    <t>IRFC</t>
  </si>
  <si>
    <t>TODAY 4-5 PM DATA</t>
  </si>
  <si>
    <t>ADDITION OF DAILY DATA IN MONTH</t>
  </si>
  <si>
    <t>YEARLY CALCULATION</t>
  </si>
  <si>
    <t>DATE</t>
  </si>
  <si>
    <t>CATEGORY</t>
  </si>
  <si>
    <t>BUY VALUE</t>
  </si>
  <si>
    <t>SELL VALUE</t>
  </si>
  <si>
    <t>NET VALUE</t>
  </si>
  <si>
    <t>CURRENT MONTH</t>
  </si>
  <si>
    <t>FII Net Purchase / Sales</t>
  </si>
  <si>
    <t xml:space="preserve">DII Net Purchase / Sales	</t>
  </si>
  <si>
    <t>DII</t>
  </si>
  <si>
    <t>FII/FPI</t>
  </si>
  <si>
    <t>FII &amp; DII Total Net Purchase / Sales</t>
  </si>
  <si>
    <t>NET INFLOW/OUTFLOW</t>
  </si>
  <si>
    <t>FII Rs Crores</t>
  </si>
  <si>
    <t>DII Rs Crores</t>
  </si>
  <si>
    <t>Gross Purchase</t>
  </si>
  <si>
    <t>Gross Sales</t>
  </si>
  <si>
    <t>Net Purchase / Sales</t>
  </si>
  <si>
    <t>https://support.google.com/docs/answer/3093281</t>
  </si>
  <si>
    <t>S.No</t>
  </si>
  <si>
    <t xml:space="preserve">Company </t>
  </si>
  <si>
    <t>Sector</t>
  </si>
  <si>
    <t>Previous Swing Low</t>
  </si>
  <si>
    <t>Code</t>
  </si>
  <si>
    <t>Long</t>
  </si>
  <si>
    <t>Short</t>
  </si>
  <si>
    <t>No VIew</t>
  </si>
  <si>
    <t>Pattern if any</t>
  </si>
  <si>
    <t>Yesterday Close</t>
  </si>
  <si>
    <t>low52</t>
  </si>
  <si>
    <t>high52</t>
  </si>
  <si>
    <t>Today Volume</t>
  </si>
  <si>
    <t>MARKET CAP</t>
  </si>
  <si>
    <t>NO OF SHARES</t>
  </si>
  <si>
    <t>eps</t>
  </si>
  <si>
    <t>pe</t>
  </si>
  <si>
    <t>15min</t>
  </si>
  <si>
    <t>1hr</t>
  </si>
  <si>
    <t>4hr</t>
  </si>
  <si>
    <t>Daily</t>
  </si>
  <si>
    <t>Weekly</t>
  </si>
  <si>
    <t>AARTIIND</t>
  </si>
  <si>
    <t>Specialty Chemicals</t>
  </si>
  <si>
    <t>ABBOTINDIA</t>
  </si>
  <si>
    <t>ABFRL</t>
  </si>
  <si>
    <t>ACC</t>
  </si>
  <si>
    <t>ADANIENT</t>
  </si>
  <si>
    <t>ADANIPORTS</t>
  </si>
  <si>
    <t>ALKEM</t>
  </si>
  <si>
    <t>AMARAJABAT</t>
  </si>
  <si>
    <t>AMBUJACEM</t>
  </si>
  <si>
    <t>APLLTD</t>
  </si>
  <si>
    <t>APOLLOHOSP</t>
  </si>
  <si>
    <t>APOLLOTYRE</t>
  </si>
  <si>
    <t>ASIANPAINT</t>
  </si>
  <si>
    <t>ATUL</t>
  </si>
  <si>
    <t>AUBANK</t>
  </si>
  <si>
    <t>AUROPHARMA</t>
  </si>
  <si>
    <t>AXISBANK</t>
  </si>
  <si>
    <t>BAJAJFINSV</t>
  </si>
  <si>
    <t>BAJAJ-AUTO</t>
  </si>
  <si>
    <t>BAJFINANCE</t>
  </si>
  <si>
    <t>BALKRISIND</t>
  </si>
  <si>
    <t>BALRAMCHIN</t>
  </si>
  <si>
    <t>BERGEPAINT</t>
  </si>
  <si>
    <t>BHARATFORG</t>
  </si>
  <si>
    <t>BHARTIARTL</t>
  </si>
  <si>
    <t>BIOCON</t>
  </si>
  <si>
    <t>BOSCHLTD</t>
  </si>
  <si>
    <t>BPCL</t>
  </si>
  <si>
    <t>BSOFT</t>
  </si>
  <si>
    <t>CANBK</t>
  </si>
  <si>
    <t>Bank</t>
  </si>
  <si>
    <t>CANFINHOME</t>
  </si>
  <si>
    <t>CHAMBLFERT</t>
  </si>
  <si>
    <t>CIPLA</t>
  </si>
  <si>
    <t>COALINDIA</t>
  </si>
  <si>
    <t>COFORGE</t>
  </si>
  <si>
    <t>CONCOR</t>
  </si>
  <si>
    <t>COROMANDEL</t>
  </si>
  <si>
    <t>CROMPTON</t>
  </si>
  <si>
    <t>H&amp;S</t>
  </si>
  <si>
    <t>CUB</t>
  </si>
  <si>
    <t>DABUR</t>
  </si>
  <si>
    <t>DALBHARAT</t>
  </si>
  <si>
    <t>DEEPAKNTR</t>
  </si>
  <si>
    <t>DELTACORP</t>
  </si>
  <si>
    <t>DIVISLAB</t>
  </si>
  <si>
    <t>DIXON</t>
  </si>
  <si>
    <t>DLF</t>
  </si>
  <si>
    <t>DRREDDY</t>
  </si>
  <si>
    <t>EICHERMOT</t>
  </si>
  <si>
    <t>ESCORTS</t>
  </si>
  <si>
    <t>EXIDEIND</t>
  </si>
  <si>
    <t>FEDERALBNK</t>
  </si>
  <si>
    <t>FSL</t>
  </si>
  <si>
    <t>GAIL</t>
  </si>
  <si>
    <t>GLENMARK</t>
  </si>
  <si>
    <t>GMRINFRA</t>
  </si>
  <si>
    <t>GNFC</t>
  </si>
  <si>
    <t>GODREJPROP</t>
  </si>
  <si>
    <t>GRANULES</t>
  </si>
  <si>
    <t>GRASIM</t>
  </si>
  <si>
    <t>GSPL</t>
  </si>
  <si>
    <t>GUJGASLTD</t>
  </si>
  <si>
    <t>HAVELLS</t>
  </si>
  <si>
    <t>HCLTECH</t>
  </si>
  <si>
    <t>HDFC</t>
  </si>
  <si>
    <t>HDFCAMC</t>
  </si>
  <si>
    <t>HDFCBANK</t>
  </si>
  <si>
    <t>HEROMOTOCO</t>
  </si>
  <si>
    <t>HINDALCO</t>
  </si>
  <si>
    <t>HINDCOPPER</t>
  </si>
  <si>
    <t>HINDPETRO</t>
  </si>
  <si>
    <t>HONAUT</t>
  </si>
  <si>
    <t>IBULHSGFIN</t>
  </si>
  <si>
    <t>ICICIBANK</t>
  </si>
  <si>
    <t>ICICIGI</t>
  </si>
  <si>
    <t>ICICIPRULI</t>
  </si>
  <si>
    <t>IGL</t>
  </si>
  <si>
    <t>INDIACEM</t>
  </si>
  <si>
    <t>INDIAMART</t>
  </si>
  <si>
    <t>INDIGO</t>
  </si>
  <si>
    <t>INDUSINDBK</t>
  </si>
  <si>
    <t>INDUSTOWER</t>
  </si>
  <si>
    <t>IOC</t>
  </si>
  <si>
    <t>IPCALAB</t>
  </si>
  <si>
    <t>IRCTC</t>
  </si>
  <si>
    <t>JINDALSTEL</t>
  </si>
  <si>
    <t>JKCEMENT</t>
  </si>
  <si>
    <t>JSWSTEEL</t>
  </si>
  <si>
    <t>JUBLFOOD</t>
  </si>
  <si>
    <t>KOTAKBANK</t>
  </si>
  <si>
    <t>LALPATHLAB</t>
  </si>
  <si>
    <t>LAURUSLABS</t>
  </si>
  <si>
    <t>LICHSGFIN</t>
  </si>
  <si>
    <t>LTIM</t>
  </si>
  <si>
    <t>LTTS</t>
  </si>
  <si>
    <t>MANAPPURAM</t>
  </si>
  <si>
    <t>MARICO</t>
  </si>
  <si>
    <t>MARUTI</t>
  </si>
  <si>
    <t>MCDOWELL-N</t>
  </si>
  <si>
    <t>MCX</t>
  </si>
  <si>
    <t>METROPOLIS</t>
  </si>
  <si>
    <t>MFSL</t>
  </si>
  <si>
    <t>MGL</t>
  </si>
  <si>
    <t>MPHASIS</t>
  </si>
  <si>
    <t>MRF</t>
  </si>
  <si>
    <t>MSUMI</t>
  </si>
  <si>
    <t>MUTHOOTFIN</t>
  </si>
  <si>
    <t>M_M</t>
  </si>
  <si>
    <t>M_MFIN</t>
  </si>
  <si>
    <t>NAM_INDIA</t>
  </si>
  <si>
    <t>NATIONALUM</t>
  </si>
  <si>
    <t>NAUKRI</t>
  </si>
  <si>
    <t>NAVINFLUOR</t>
  </si>
  <si>
    <t>NBCC</t>
  </si>
  <si>
    <t>NESTLEIND</t>
  </si>
  <si>
    <t>NMDC</t>
  </si>
  <si>
    <t>NTPC</t>
  </si>
  <si>
    <t>OBEROIRLTY</t>
  </si>
  <si>
    <t>ONGC</t>
  </si>
  <si>
    <t>PAGEIND</t>
  </si>
  <si>
    <t>PEL</t>
  </si>
  <si>
    <t>PERSISTENT</t>
  </si>
  <si>
    <t>PETRONET</t>
  </si>
  <si>
    <t>PFC</t>
  </si>
  <si>
    <t>PFIZER</t>
  </si>
  <si>
    <t>PIDILITIND</t>
  </si>
  <si>
    <t>POLYCAB</t>
  </si>
  <si>
    <t>POWERGRID</t>
  </si>
  <si>
    <t>PVR</t>
  </si>
  <si>
    <t>RBLBANK</t>
  </si>
  <si>
    <t>RECLTD</t>
  </si>
  <si>
    <t>RELIANCE</t>
  </si>
  <si>
    <t>SAIL</t>
  </si>
  <si>
    <t>SBICARD</t>
  </si>
  <si>
    <t>SBILIFE</t>
  </si>
  <si>
    <t>SBIN</t>
  </si>
  <si>
    <t>SHREECEM</t>
  </si>
  <si>
    <t>SIEMENS</t>
  </si>
  <si>
    <t>SRF</t>
  </si>
  <si>
    <t>STAR</t>
  </si>
  <si>
    <t>SUNPHARMA</t>
  </si>
  <si>
    <t>SUNTV</t>
  </si>
  <si>
    <t>SYNGENE</t>
  </si>
  <si>
    <t>TATACHEM</t>
  </si>
  <si>
    <t>TATACOMM</t>
  </si>
  <si>
    <t>TATACONSUM</t>
  </si>
  <si>
    <t>TATAMOTORS</t>
  </si>
  <si>
    <t>TATAPOWER</t>
  </si>
  <si>
    <t>TCS</t>
  </si>
  <si>
    <t>TECHM</t>
  </si>
  <si>
    <t>TORNTPHARM</t>
  </si>
  <si>
    <t>TORNTPOWER</t>
  </si>
  <si>
    <t>TRENT</t>
  </si>
  <si>
    <t>TVSMOTOR</t>
  </si>
  <si>
    <t>UBL</t>
  </si>
  <si>
    <t>ULTRACEMCO</t>
  </si>
  <si>
    <t>UPL</t>
  </si>
  <si>
    <t>VEDL</t>
  </si>
  <si>
    <t>VOLTAS</t>
  </si>
  <si>
    <t>WHIRLPOOL</t>
  </si>
  <si>
    <t>WIPRO</t>
  </si>
  <si>
    <t>ZEEL</t>
  </si>
  <si>
    <t>ZYDUSLIFE</t>
  </si>
  <si>
    <t>Sr.</t>
  </si>
  <si>
    <t>Stock Name</t>
  </si>
  <si>
    <t>Links</t>
  </si>
  <si>
    <t>%Chg</t>
  </si>
  <si>
    <t>Price</t>
  </si>
  <si>
    <t>Maruti Suzuki India Limited</t>
  </si>
  <si>
    <t>P&amp;F | F.A</t>
  </si>
  <si>
    <t>Hindustan Unilever Limited</t>
  </si>
  <si>
    <t>HINDUNILVR</t>
  </si>
  <si>
    <t>Persistent Systems Limited</t>
  </si>
  <si>
    <t>Suzlon Energy Limited</t>
  </si>
  <si>
    <t>Icici Prudential Life Insurance Company Limited</t>
  </si>
  <si>
    <t>Union Bank Of India</t>
  </si>
  <si>
    <t>UNIONBANK</t>
  </si>
  <si>
    <t>Coal India Limited</t>
  </si>
  <si>
    <t>Bharat Petroleum Corporation Limited</t>
  </si>
  <si>
    <t>Gail (india) Limited</t>
  </si>
  <si>
    <t>Godrej Consumer Products Limited</t>
  </si>
  <si>
    <t>FSN E-Commerce Ventures Ltd</t>
  </si>
  <si>
    <t>Glenmark Pharmaceuticals Limited</t>
  </si>
  <si>
    <t>Petronet Lng Limited</t>
  </si>
  <si>
    <t>Bandhan Bank Ltd</t>
  </si>
  <si>
    <t>BANDHANBNK</t>
  </si>
  <si>
    <t>Bosch Limited</t>
  </si>
  <si>
    <t>Punjab National Bank</t>
  </si>
  <si>
    <t>Hindustan Petroleum Corporation Limited</t>
  </si>
  <si>
    <t>Tata Elxsi Limited</t>
  </si>
  <si>
    <t>TATAELXSI</t>
  </si>
  <si>
    <t>Container Corporation Of India Limited</t>
  </si>
  <si>
    <t>Kaynes Technology India Ltd</t>
  </si>
  <si>
    <t>KAYNES</t>
  </si>
  <si>
    <t>Delhivery Ltd</t>
  </si>
  <si>
    <t>DELHIVERY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</si>
</sst>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-mmm-yyyy"/>
    <numFmt numFmtId="165" formatCode="mmmm yyyy"/>
    <numFmt numFmtId="166" formatCode="d mmmm yyyy"/>
  </numFmts>
  <fonts count="46">
    <font>
      <sz val="10.0"/>
      <color rgb="FF000000"/>
      <name val="Arial"/>
      <scheme val="minor"/>
    </font>
    <font>
      <b/>
      <color rgb="FFF3F3F3"/>
      <name val="Calibri"/>
    </font>
    <font>
      <color theme="1"/>
      <name val="Arial"/>
      <scheme val="minor"/>
    </font>
    <font>
      <b/>
      <sz val="12.0"/>
      <color rgb="FF3A2D7D"/>
      <name val="Arial"/>
    </font>
    <font>
      <color theme="1"/>
      <name val="Arial"/>
    </font>
    <font>
      <u/>
      <color rgb="FF0000FF"/>
    </font>
    <font>
      <b/>
      <color rgb="FFFFFFFF"/>
      <name val="Arial"/>
    </font>
    <font>
      <b/>
      <color rgb="FF3A2D7D"/>
      <name val="Arial"/>
    </font>
    <font>
      <u/>
      <color rgb="FF0000FF"/>
    </font>
    <font>
      <u/>
      <color rgb="FF0000FF"/>
    </font>
    <font>
      <b/>
      <color theme="1"/>
      <name val="Arial"/>
    </font>
    <font>
      <color rgb="FF344054"/>
      <name val="Roboto"/>
    </font>
    <font>
      <color rgb="FF009688"/>
      <name val="Roboto"/>
    </font>
    <font>
      <color rgb="FF844AEB"/>
      <name val="Roboto"/>
    </font>
    <font>
      <b/>
      <sz val="13.0"/>
      <color rgb="FFFFFFFF"/>
      <name val="Arial"/>
    </font>
    <font>
      <sz val="13.0"/>
      <color rgb="FF0F1419"/>
      <name val="Arial"/>
    </font>
    <font>
      <b/>
      <sz val="14.0"/>
      <color rgb="FFFFFFFF"/>
      <name val="Calibri"/>
    </font>
    <font>
      <sz val="11.0"/>
      <color theme="1"/>
      <name val="Calibri"/>
    </font>
    <font>
      <u/>
      <color rgb="FF1155CC"/>
      <name val="Arial"/>
    </font>
    <font/>
    <font>
      <sz val="11.0"/>
      <color rgb="FF374151"/>
      <name val="Arial"/>
    </font>
    <font>
      <color rgb="FFFF0000"/>
      <name val="Arial"/>
    </font>
    <font>
      <sz val="12.0"/>
      <color rgb="FFFFFFFF"/>
      <name val="Roboto"/>
    </font>
    <font>
      <b/>
      <color theme="1"/>
      <name val="Roboto"/>
    </font>
    <font>
      <b/>
      <sz val="11.0"/>
      <color rgb="FF6BAE55"/>
      <name val="Roboto"/>
    </font>
    <font>
      <sz val="11.0"/>
      <color rgb="FF4A4A4A"/>
      <name val="Roboto"/>
    </font>
    <font>
      <b/>
      <sz val="11.0"/>
      <color rgb="FF4A4A4A"/>
      <name val="Roboto"/>
    </font>
    <font>
      <b/>
      <sz val="11.0"/>
      <color rgb="FF34A853"/>
      <name val="Roboto"/>
    </font>
    <font>
      <sz val="11.0"/>
      <color theme="1"/>
      <name val="Arial"/>
    </font>
    <font>
      <b/>
      <sz val="11.0"/>
      <color rgb="FFFF0000"/>
      <name val="Roboto"/>
    </font>
    <font>
      <b/>
      <sz val="11.0"/>
      <color rgb="FFFFFFFF"/>
      <name val="Roboto"/>
    </font>
    <font>
      <sz val="14.0"/>
      <color rgb="FFFFFFFF"/>
      <name val="Roboto"/>
    </font>
    <font>
      <b/>
      <sz val="8.0"/>
      <color rgb="FFFFFFFF"/>
      <name val="Roboto"/>
    </font>
    <font>
      <sz val="11.0"/>
      <color theme="1"/>
      <name val="Roboto"/>
    </font>
    <font>
      <sz val="11.0"/>
      <color rgb="FF333333"/>
      <name val="Roboto"/>
    </font>
    <font>
      <sz val="11.0"/>
      <color rgb="FF6BAE55"/>
      <name val="Roboto"/>
    </font>
    <font>
      <sz val="11.0"/>
      <color rgb="FFC1433D"/>
      <name val="Roboto"/>
    </font>
    <font>
      <b/>
      <u/>
      <sz val="12.0"/>
      <color rgb="FF1155CC"/>
      <name val="Arial"/>
    </font>
    <font>
      <b/>
      <u/>
      <sz val="12.0"/>
      <color rgb="FF0000FF"/>
      <name val="Arial"/>
    </font>
    <font>
      <b/>
      <sz val="12.0"/>
      <color theme="1"/>
      <name val="Arial"/>
    </font>
    <font>
      <b/>
      <sz val="18.0"/>
      <color theme="1"/>
      <name val="Arial"/>
    </font>
    <font>
      <b/>
      <u/>
      <sz val="12.0"/>
      <color rgb="FF1155CC"/>
      <name val="Arial"/>
    </font>
    <font>
      <color rgb="FF4A4A4A"/>
      <name val="Roboto"/>
    </font>
    <font>
      <sz val="11.0"/>
      <color theme="1"/>
      <name val="Inconsolata"/>
    </font>
    <font>
      <color rgb="FF0000FF"/>
      <name val="Arial"/>
    </font>
    <font>
      <b/>
      <color theme="1"/>
      <name val="YAFdJjTk5UU_0"/>
    </font>
  </fonts>
  <fills count="14">
    <fill>
      <patternFill patternType="none"/>
    </fill>
    <fill>
      <patternFill patternType="lightGray"/>
    </fill>
    <fill>
      <patternFill patternType="solid">
        <fgColor rgb="FF295C89"/>
        <bgColor rgb="FF295C89"/>
      </patternFill>
    </fill>
    <fill>
      <patternFill patternType="solid">
        <fgColor rgb="FF1C4587"/>
        <bgColor rgb="FF1C4587"/>
      </patternFill>
    </fill>
    <fill>
      <patternFill patternType="solid">
        <fgColor rgb="FFF1C232"/>
        <bgColor rgb="FFF1C232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E5F4F3"/>
        <bgColor rgb="FFE5F4F3"/>
      </patternFill>
    </fill>
    <fill>
      <patternFill patternType="solid">
        <fgColor rgb="FFF2EDFD"/>
        <bgColor rgb="FFF2EDFD"/>
      </patternFill>
    </fill>
    <fill>
      <patternFill patternType="solid">
        <fgColor rgb="FF073763"/>
        <bgColor rgb="FF073763"/>
      </patternFill>
    </fill>
    <fill>
      <patternFill patternType="solid">
        <fgColor rgb="FFF7F7F8"/>
        <bgColor rgb="FFF7F7F8"/>
      </patternFill>
    </fill>
    <fill>
      <patternFill patternType="solid">
        <fgColor rgb="FF3A2D7D"/>
        <bgColor rgb="FF3A2D7D"/>
      </patternFill>
    </fill>
    <fill>
      <patternFill patternType="solid">
        <fgColor rgb="FF666666"/>
        <bgColor rgb="FF666666"/>
      </patternFill>
    </fill>
    <fill>
      <patternFill patternType="solid">
        <fgColor rgb="FFF8F8F8"/>
        <bgColor rgb="FFF8F8F8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9ECF0"/>
      </left>
      <right style="thin">
        <color rgb="FFE9ECF0"/>
      </right>
      <top style="thin">
        <color rgb="FFE9ECF0"/>
      </top>
    </border>
    <border>
      <left style="thin">
        <color rgb="FFE9ECF0"/>
      </left>
      <top style="thin">
        <color rgb="FFE9ECF0"/>
      </top>
    </border>
    <border>
      <right style="thin">
        <color rgb="FFE9ECF0"/>
      </right>
      <top style="thin">
        <color rgb="FFE9ECF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E3E3E3"/>
      </left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E3E3E3"/>
      </left>
      <top style="thin">
        <color rgb="FFE3E3E3"/>
      </top>
      <bottom style="thin">
        <color rgb="FFE3E3E3"/>
      </bottom>
    </border>
    <border>
      <right style="thin">
        <color rgb="FFE3E3E3"/>
      </right>
      <top style="thin">
        <color rgb="FFE3E3E3"/>
      </top>
      <bottom style="thin">
        <color rgb="FFE3E3E3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bottom style="thin">
        <color rgb="FFFFFFFF"/>
      </bottom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top style="thin">
        <color rgb="FFE3E3E3"/>
      </top>
      <bottom style="thin">
        <color rgb="FFE3E3E3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ont="1">
      <alignment horizontal="center" vertical="bottom"/>
    </xf>
    <xf borderId="1" fillId="0" fontId="2" numFmtId="0" xfId="0" applyBorder="1" applyFont="1"/>
    <xf borderId="1" fillId="0" fontId="3" numFmtId="0" xfId="0" applyAlignment="1" applyBorder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1" fillId="0" fontId="5" numFmtId="0" xfId="0" applyAlignment="1" applyBorder="1" applyFont="1">
      <alignment horizontal="left" readingOrder="0"/>
    </xf>
    <xf borderId="0" fillId="3" fontId="6" numFmtId="0" xfId="0" applyAlignment="1" applyFill="1" applyFont="1">
      <alignment horizontal="left" vertical="bottom"/>
    </xf>
    <xf borderId="0" fillId="3" fontId="6" numFmtId="0" xfId="0" applyAlignment="1" applyFont="1">
      <alignment horizontal="center" vertical="bottom"/>
    </xf>
    <xf borderId="0" fillId="4" fontId="7" numFmtId="0" xfId="0" applyAlignment="1" applyFill="1" applyFont="1">
      <alignment horizontal="center" vertical="bottom"/>
    </xf>
    <xf borderId="0" fillId="0" fontId="2" numFmtId="0" xfId="0" applyAlignment="1" applyFont="1">
      <alignment horizontal="center"/>
    </xf>
    <xf borderId="0" fillId="4" fontId="7" numFmtId="49" xfId="0" applyAlignment="1" applyFont="1" applyNumberFormat="1">
      <alignment horizontal="center" readingOrder="0" vertical="bottom"/>
    </xf>
    <xf borderId="0" fillId="3" fontId="6" numFmtId="0" xfId="0" applyAlignment="1" applyFont="1">
      <alignment horizontal="center" readingOrder="0" vertical="bottom"/>
    </xf>
    <xf borderId="1" fillId="0" fontId="8" numFmtId="0" xfId="0" applyAlignment="1" applyBorder="1" applyFont="1">
      <alignment readingOrder="0"/>
    </xf>
    <xf borderId="0" fillId="5" fontId="4" numFmtId="0" xfId="0" applyAlignment="1" applyFill="1" applyFont="1">
      <alignment horizontal="center" vertical="bottom"/>
    </xf>
    <xf borderId="0" fillId="5" fontId="4" numFmtId="3" xfId="0" applyAlignment="1" applyFont="1" applyNumberFormat="1">
      <alignment horizontal="center" vertical="bottom"/>
    </xf>
    <xf borderId="0" fillId="0" fontId="4" numFmtId="0" xfId="0" applyAlignment="1" applyFont="1">
      <alignment horizontal="center" vertical="bottom"/>
    </xf>
    <xf borderId="0" fillId="0" fontId="4" numFmtId="3" xfId="0" applyAlignment="1" applyFont="1" applyNumberFormat="1">
      <alignment horizontal="center" vertical="bottom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4" numFmtId="0" xfId="0" applyAlignment="1" applyFon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10" numFmtId="0" xfId="0" applyAlignment="1" applyFont="1">
      <alignment horizontal="left" readingOrder="0" vertical="bottom"/>
    </xf>
    <xf borderId="0" fillId="0" fontId="10" numFmtId="0" xfId="0" applyAlignment="1" applyFont="1">
      <alignment readingOrder="0" vertical="bottom"/>
    </xf>
    <xf borderId="0" fillId="0" fontId="4" numFmtId="49" xfId="0" applyAlignment="1" applyFont="1" applyNumberFormat="1">
      <alignment vertical="bottom"/>
    </xf>
    <xf borderId="0" fillId="6" fontId="11" numFmtId="0" xfId="0" applyAlignment="1" applyFill="1" applyFont="1">
      <alignment horizontal="left" readingOrder="0" shrinkToFit="0" wrapText="1"/>
    </xf>
    <xf borderId="2" fillId="6" fontId="11" numFmtId="0" xfId="0" applyAlignment="1" applyBorder="1" applyFont="1">
      <alignment readingOrder="0" shrinkToFit="0" wrapText="1"/>
    </xf>
    <xf borderId="2" fillId="7" fontId="12" numFmtId="0" xfId="0" applyAlignment="1" applyBorder="1" applyFill="1" applyFont="1">
      <alignment horizontal="center" readingOrder="0"/>
    </xf>
    <xf borderId="2" fillId="6" fontId="11" numFmtId="49" xfId="0" applyAlignment="1" applyBorder="1" applyFont="1" applyNumberFormat="1">
      <alignment readingOrder="0"/>
    </xf>
    <xf borderId="3" fillId="6" fontId="11" numFmtId="0" xfId="0" applyAlignment="1" applyBorder="1" applyFont="1">
      <alignment readingOrder="0"/>
    </xf>
    <xf borderId="4" fillId="6" fontId="11" numFmtId="0" xfId="0" applyAlignment="1" applyBorder="1" applyFont="1">
      <alignment readingOrder="0" shrinkToFit="0" wrapText="1"/>
    </xf>
    <xf borderId="2" fillId="6" fontId="11" numFmtId="0" xfId="0" applyAlignment="1" applyBorder="1" applyFont="1">
      <alignment readingOrder="0"/>
    </xf>
    <xf borderId="2" fillId="8" fontId="13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/>
    </xf>
    <xf borderId="0" fillId="9" fontId="14" numFmtId="0" xfId="0" applyAlignment="1" applyFill="1" applyFont="1">
      <alignment horizontal="center" vertical="bottom"/>
    </xf>
    <xf borderId="0" fillId="6" fontId="4" numFmtId="0" xfId="0" applyAlignment="1" applyFont="1">
      <alignment vertical="bottom"/>
    </xf>
    <xf borderId="0" fillId="6" fontId="15" numFmtId="0" xfId="0" applyAlignment="1" applyFont="1">
      <alignment vertical="bottom"/>
    </xf>
    <xf borderId="0" fillId="9" fontId="16" numFmtId="0" xfId="0" applyAlignment="1" applyFont="1">
      <alignment vertical="bottom"/>
    </xf>
    <xf borderId="0" fillId="9" fontId="16" numFmtId="1" xfId="0" applyAlignment="1" applyFont="1" applyNumberFormat="1">
      <alignment vertical="bottom"/>
    </xf>
    <xf borderId="1" fillId="9" fontId="16" numFmtId="0" xfId="0" applyAlignment="1" applyBorder="1" applyFont="1">
      <alignment vertical="bottom"/>
    </xf>
    <xf borderId="1" fillId="9" fontId="16" numFmtId="1" xfId="0" applyAlignment="1" applyBorder="1" applyFont="1" applyNumberFormat="1">
      <alignment vertical="bottom"/>
    </xf>
    <xf borderId="0" fillId="0" fontId="4" numFmtId="1" xfId="0" applyAlignment="1" applyFont="1" applyNumberFormat="1">
      <alignment horizontal="right" vertical="bottom"/>
    </xf>
    <xf borderId="1" fillId="0" fontId="17" numFmtId="0" xfId="0" applyAlignment="1" applyBorder="1" applyFont="1">
      <alignment vertical="bottom"/>
    </xf>
    <xf borderId="1" fillId="0" fontId="17" numFmtId="1" xfId="0" applyAlignment="1" applyBorder="1" applyFont="1" applyNumberFormat="1">
      <alignment horizontal="right" vertical="bottom"/>
    </xf>
    <xf borderId="1" fillId="0" fontId="17" numFmtId="0" xfId="0" applyAlignment="1" applyBorder="1" applyFont="1">
      <alignment horizontal="right" vertical="bottom"/>
    </xf>
    <xf borderId="1" fillId="0" fontId="18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3" numFmtId="0" xfId="0" applyAlignment="1" applyBorder="1" applyFont="1">
      <alignment readingOrder="0" vertical="bottom"/>
    </xf>
    <xf borderId="0" fillId="0" fontId="4" numFmtId="1" xfId="0" applyAlignment="1" applyFont="1" applyNumberFormat="1">
      <alignment vertical="bottom"/>
    </xf>
    <xf borderId="5" fillId="9" fontId="14" numFmtId="0" xfId="0" applyAlignment="1" applyBorder="1" applyFont="1">
      <alignment horizontal="center" vertical="bottom"/>
    </xf>
    <xf borderId="6" fillId="0" fontId="19" numFmtId="0" xfId="0" applyBorder="1" applyFont="1"/>
    <xf borderId="7" fillId="0" fontId="19" numFmtId="0" xfId="0" applyBorder="1" applyFont="1"/>
    <xf borderId="1" fillId="0" fontId="4" numFmtId="1" xfId="0" applyAlignment="1" applyBorder="1" applyFont="1" applyNumberFormat="1">
      <alignment horizontal="right" vertical="bottom"/>
    </xf>
    <xf borderId="1" fillId="0" fontId="4" numFmtId="3" xfId="0" applyAlignment="1" applyBorder="1" applyFont="1" applyNumberFormat="1">
      <alignment horizontal="right" vertical="bottom"/>
    </xf>
    <xf borderId="0" fillId="10" fontId="20" numFmtId="0" xfId="0" applyAlignment="1" applyFill="1" applyFont="1">
      <alignment vertical="bottom"/>
    </xf>
    <xf borderId="0" fillId="9" fontId="16" numFmtId="0" xfId="0" applyAlignment="1" applyFont="1">
      <alignment horizontal="center" vertical="bottom"/>
    </xf>
    <xf borderId="0" fillId="9" fontId="16" numFmtId="1" xfId="0" applyAlignment="1" applyFont="1" applyNumberFormat="1">
      <alignment horizontal="center" vertical="bottom"/>
    </xf>
    <xf borderId="0" fillId="5" fontId="4" numFmtId="0" xfId="0" applyAlignment="1" applyFont="1">
      <alignment vertical="bottom"/>
    </xf>
    <xf borderId="0" fillId="0" fontId="21" numFmtId="0" xfId="0" applyAlignment="1" applyFont="1">
      <alignment vertical="bottom"/>
    </xf>
    <xf borderId="8" fillId="11" fontId="22" numFmtId="1" xfId="0" applyAlignment="1" applyBorder="1" applyFill="1" applyFont="1" applyNumberFormat="1">
      <alignment horizontal="center" vertical="bottom"/>
    </xf>
    <xf borderId="9" fillId="0" fontId="4" numFmtId="1" xfId="0" applyAlignment="1" applyBorder="1" applyFont="1" applyNumberFormat="1">
      <alignment vertical="bottom"/>
    </xf>
    <xf borderId="10" fillId="0" fontId="4" numFmtId="1" xfId="0" applyAlignment="1" applyBorder="1" applyFont="1" applyNumberFormat="1">
      <alignment vertical="bottom"/>
    </xf>
    <xf borderId="0" fillId="6" fontId="4" numFmtId="164" xfId="0" applyAlignment="1" applyFont="1" applyNumberFormat="1">
      <alignment vertical="bottom"/>
    </xf>
    <xf borderId="0" fillId="6" fontId="4" numFmtId="4" xfId="0" applyAlignment="1" applyFont="1" applyNumberFormat="1">
      <alignment vertical="bottom"/>
    </xf>
    <xf borderId="0" fillId="0" fontId="4" numFmtId="4" xfId="0" applyAlignment="1" applyFont="1" applyNumberFormat="1">
      <alignment vertical="bottom"/>
    </xf>
    <xf borderId="5" fillId="0" fontId="23" numFmtId="0" xfId="0" applyAlignment="1" applyBorder="1" applyFont="1">
      <alignment horizontal="center" vertical="bottom"/>
    </xf>
    <xf borderId="1" fillId="0" fontId="24" numFmtId="4" xfId="0" applyAlignment="1" applyBorder="1" applyFont="1" applyNumberFormat="1">
      <alignment horizontal="center" vertical="bottom"/>
    </xf>
    <xf borderId="1" fillId="6" fontId="25" numFmtId="164" xfId="0" applyAlignment="1" applyBorder="1" applyFont="1" applyNumberFormat="1">
      <alignment horizontal="center" readingOrder="0" vertical="bottom"/>
    </xf>
    <xf borderId="1" fillId="6" fontId="25" numFmtId="0" xfId="0" applyAlignment="1" applyBorder="1" applyFont="1">
      <alignment vertical="bottom"/>
    </xf>
    <xf borderId="1" fillId="6" fontId="26" numFmtId="4" xfId="0" applyAlignment="1" applyBorder="1" applyFont="1" applyNumberFormat="1">
      <alignment horizontal="right" readingOrder="0" vertical="bottom"/>
    </xf>
    <xf borderId="1" fillId="6" fontId="27" numFmtId="4" xfId="0" applyAlignment="1" applyBorder="1" applyFont="1" applyNumberFormat="1">
      <alignment horizontal="right" vertical="bottom"/>
    </xf>
    <xf borderId="0" fillId="0" fontId="28" numFmtId="165" xfId="0" applyAlignment="1" applyFont="1" applyNumberFormat="1">
      <alignment horizontal="right" vertical="bottom"/>
    </xf>
    <xf borderId="1" fillId="6" fontId="26" numFmtId="0" xfId="0" applyAlignment="1" applyBorder="1" applyFont="1">
      <alignment vertical="bottom"/>
    </xf>
    <xf borderId="1" fillId="6" fontId="26" numFmtId="4" xfId="0" applyAlignment="1" applyBorder="1" applyFont="1" applyNumberFormat="1">
      <alignment horizontal="right" vertical="bottom"/>
    </xf>
    <xf borderId="1" fillId="6" fontId="29" numFmtId="4" xfId="0" applyAlignment="1" applyBorder="1" applyFont="1" applyNumberFormat="1">
      <alignment horizontal="right" vertical="bottom"/>
    </xf>
    <xf borderId="5" fillId="11" fontId="30" numFmtId="1" xfId="0" applyAlignment="1" applyBorder="1" applyFont="1" applyNumberFormat="1">
      <alignment horizontal="center" vertical="bottom"/>
    </xf>
    <xf borderId="1" fillId="0" fontId="27" numFmtId="4" xfId="0" applyAlignment="1" applyBorder="1" applyFont="1" applyNumberFormat="1">
      <alignment horizontal="right" vertical="bottom"/>
    </xf>
    <xf borderId="5" fillId="11" fontId="22" numFmtId="1" xfId="0" applyAlignment="1" applyBorder="1" applyFont="1" applyNumberFormat="1">
      <alignment horizontal="center" vertical="bottom"/>
    </xf>
    <xf borderId="11" fillId="11" fontId="22" numFmtId="1" xfId="0" applyAlignment="1" applyBorder="1" applyFont="1" applyNumberFormat="1">
      <alignment horizontal="center" vertical="bottom"/>
    </xf>
    <xf borderId="12" fillId="11" fontId="30" numFmtId="0" xfId="0" applyAlignment="1" applyBorder="1" applyFont="1">
      <alignment horizontal="center" vertical="bottom"/>
    </xf>
    <xf borderId="13" fillId="0" fontId="19" numFmtId="0" xfId="0" applyBorder="1" applyFont="1"/>
    <xf borderId="14" fillId="0" fontId="19" numFmtId="0" xfId="0" applyBorder="1" applyFont="1"/>
    <xf borderId="15" fillId="11" fontId="30" numFmtId="0" xfId="0" applyAlignment="1" applyBorder="1" applyFont="1">
      <alignment horizontal="center" vertical="bottom"/>
    </xf>
    <xf borderId="16" fillId="0" fontId="19" numFmtId="0" xfId="0" applyBorder="1" applyFont="1"/>
    <xf borderId="17" fillId="0" fontId="19" numFmtId="0" xfId="0" applyBorder="1" applyFont="1"/>
    <xf borderId="9" fillId="11" fontId="31" numFmtId="1" xfId="0" applyAlignment="1" applyBorder="1" applyFont="1" applyNumberFormat="1">
      <alignment horizontal="center" vertical="bottom"/>
    </xf>
    <xf borderId="18" fillId="0" fontId="19" numFmtId="0" xfId="0" applyBorder="1" applyFont="1"/>
    <xf borderId="10" fillId="0" fontId="19" numFmtId="0" xfId="0" applyBorder="1" applyFont="1"/>
    <xf borderId="19" fillId="0" fontId="19" numFmtId="0" xfId="0" applyBorder="1" applyFont="1"/>
    <xf borderId="20" fillId="11" fontId="32" numFmtId="1" xfId="0" applyAlignment="1" applyBorder="1" applyFont="1" applyNumberFormat="1">
      <alignment horizontal="center" vertical="bottom"/>
    </xf>
    <xf borderId="1" fillId="0" fontId="33" numFmtId="166" xfId="0" applyAlignment="1" applyBorder="1" applyFont="1" applyNumberFormat="1">
      <alignment horizontal="center" readingOrder="0" vertical="bottom"/>
    </xf>
    <xf borderId="1" fillId="6" fontId="34" numFmtId="4" xfId="0" applyAlignment="1" applyBorder="1" applyFont="1" applyNumberFormat="1">
      <alignment horizontal="center" readingOrder="0" vertical="bottom"/>
    </xf>
    <xf borderId="1" fillId="6" fontId="35" numFmtId="0" xfId="0" applyAlignment="1" applyBorder="1" applyFont="1">
      <alignment horizontal="center" readingOrder="0" vertical="bottom"/>
    </xf>
    <xf borderId="1" fillId="0" fontId="33" numFmtId="166" xfId="0" applyAlignment="1" applyBorder="1" applyFont="1" applyNumberFormat="1">
      <alignment horizontal="center" vertical="bottom"/>
    </xf>
    <xf borderId="1" fillId="6" fontId="34" numFmtId="4" xfId="0" applyAlignment="1" applyBorder="1" applyFont="1" applyNumberFormat="1">
      <alignment horizontal="center" vertical="bottom"/>
    </xf>
    <xf borderId="1" fillId="6" fontId="35" numFmtId="0" xfId="0" applyAlignment="1" applyBorder="1" applyFont="1">
      <alignment horizontal="center" vertical="bottom"/>
    </xf>
    <xf borderId="1" fillId="6" fontId="35" numFmtId="4" xfId="0" applyAlignment="1" applyBorder="1" applyFont="1" applyNumberFormat="1">
      <alignment horizontal="center" vertical="bottom"/>
    </xf>
    <xf borderId="1" fillId="6" fontId="36" numFmtId="0" xfId="0" applyAlignment="1" applyBorder="1" applyFont="1">
      <alignment horizontal="center" vertical="bottom"/>
    </xf>
    <xf borderId="1" fillId="6" fontId="33" numFmtId="166" xfId="0" applyAlignment="1" applyBorder="1" applyFont="1" applyNumberFormat="1">
      <alignment horizontal="center" vertical="bottom"/>
    </xf>
    <xf borderId="8" fillId="0" fontId="4" numFmtId="1" xfId="0" applyAlignment="1" applyBorder="1" applyFont="1" applyNumberFormat="1">
      <alignment vertical="bottom"/>
    </xf>
    <xf borderId="0" fillId="0" fontId="37" numFmtId="0" xfId="0" applyAlignment="1" applyFont="1">
      <alignment readingOrder="0" vertical="bottom"/>
    </xf>
    <xf borderId="0" fillId="0" fontId="38" numFmtId="0" xfId="0" applyAlignment="1" applyFont="1">
      <alignment readingOrder="0" vertical="bottom"/>
    </xf>
    <xf borderId="0" fillId="0" fontId="39" numFmtId="0" xfId="0" applyAlignment="1" applyFont="1">
      <alignment vertical="bottom"/>
    </xf>
    <xf borderId="0" fillId="0" fontId="39" numFmtId="0" xfId="0" applyAlignment="1" applyFont="1">
      <alignment horizontal="center" shrinkToFit="0" vertical="top" wrapText="1"/>
    </xf>
    <xf borderId="0" fillId="0" fontId="40" numFmtId="0" xfId="0" applyAlignment="1" applyFont="1">
      <alignment horizontal="center" vertical="bottom"/>
    </xf>
    <xf borderId="0" fillId="12" fontId="4" numFmtId="0" xfId="0" applyAlignment="1" applyFill="1" applyFont="1">
      <alignment vertical="bottom"/>
    </xf>
    <xf borderId="0" fillId="0" fontId="39" numFmtId="0" xfId="0" applyAlignment="1" applyFont="1">
      <alignment horizontal="center" vertical="bottom"/>
    </xf>
    <xf borderId="1" fillId="0" fontId="41" numFmtId="0" xfId="0" applyAlignment="1" applyBorder="1" applyFont="1">
      <alignment vertical="bottom"/>
    </xf>
    <xf borderId="1" fillId="0" fontId="39" numFmtId="0" xfId="0" applyAlignment="1" applyBorder="1" applyFont="1">
      <alignment vertical="bottom"/>
    </xf>
    <xf borderId="21" fillId="0" fontId="39" numFmtId="0" xfId="0" applyAlignment="1" applyBorder="1" applyFont="1">
      <alignment horizontal="center" shrinkToFit="0" vertical="top" wrapText="1"/>
    </xf>
    <xf borderId="5" fillId="0" fontId="40" numFmtId="0" xfId="0" applyAlignment="1" applyBorder="1" applyFont="1">
      <alignment horizontal="center" vertical="bottom"/>
    </xf>
    <xf borderId="1" fillId="12" fontId="4" numFmtId="0" xfId="0" applyAlignment="1" applyBorder="1" applyFont="1">
      <alignment vertical="bottom"/>
    </xf>
    <xf borderId="1" fillId="0" fontId="39" numFmtId="0" xfId="0" applyAlignment="1" applyBorder="1" applyFont="1">
      <alignment horizontal="center" vertical="bottom"/>
    </xf>
    <xf borderId="5" fillId="0" fontId="39" numFmtId="0" xfId="0" applyAlignment="1" applyBorder="1" applyFont="1">
      <alignment horizontal="center" vertical="bottom"/>
    </xf>
    <xf borderId="22" fillId="0" fontId="19" numFmtId="0" xfId="0" applyBorder="1" applyFont="1"/>
    <xf borderId="1" fillId="0" fontId="4" numFmtId="9" xfId="0" applyAlignment="1" applyBorder="1" applyFont="1" applyNumberFormat="1">
      <alignment vertical="bottom"/>
    </xf>
    <xf borderId="0" fillId="0" fontId="4" numFmtId="0" xfId="0" applyAlignment="1" applyFont="1">
      <alignment horizontal="right" vertical="bottom"/>
    </xf>
    <xf borderId="0" fillId="13" fontId="42" numFmtId="0" xfId="0" applyAlignment="1" applyFill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12" fontId="4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6" fontId="43" numFmtId="0" xfId="0" applyAlignment="1" applyFont="1">
      <alignment vertical="bottom"/>
    </xf>
    <xf borderId="0" fillId="0" fontId="21" numFmtId="0" xfId="0" applyAlignment="1" applyFont="1">
      <alignment horizontal="right" vertical="bottom"/>
    </xf>
    <xf borderId="0" fillId="0" fontId="21" numFmtId="0" xfId="0" applyAlignment="1" applyFont="1">
      <alignment horizontal="center" vertical="bottom"/>
    </xf>
    <xf borderId="0" fillId="0" fontId="44" numFmtId="0" xfId="0" applyAlignment="1" applyFont="1">
      <alignment vertical="bottom"/>
    </xf>
    <xf borderId="0" fillId="0" fontId="45" numFmtId="0" xfId="0" applyAlignment="1" applyFont="1">
      <alignment readingOrder="0"/>
    </xf>
  </cellXfs>
  <cellStyles count="1">
    <cellStyle xfId="0" name="Normal" builtinId="0"/>
  </cellStyles>
  <dxfs count="3">
    <dxf>
      <font>
        <color rgb="FF34A853"/>
      </font>
      <fill>
        <patternFill patternType="none"/>
      </fill>
      <border/>
    </dxf>
    <dxf>
      <font>
        <color rgb="FFFF0000"/>
      </font>
      <fill>
        <patternFill patternType="none"/>
      </fill>
      <border/>
    </dxf>
    <dxf>
      <font>
        <color rgb="FF000000"/>
      </font>
      <fill>
        <patternFill patternType="solid">
          <fgColor rgb="FF6AA84F"/>
          <bgColor rgb="FF6AA84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hartink.com/screener/copy-open-high-5911" TargetMode="External"/><Relationship Id="rId2" Type="http://schemas.openxmlformats.org/officeDocument/2006/relationships/hyperlink" Target="https://chartink.com/screener/copy-open-low-103152" TargetMode="External"/><Relationship Id="rId3" Type="http://schemas.openxmlformats.org/officeDocument/2006/relationships/hyperlink" Target="https://web.sensibull.com/stock-market-calendar/stock-results-calendar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chartink.com/screener/copy-all-time-high-stocks-11214" TargetMode="External"/><Relationship Id="rId2" Type="http://schemas.openxmlformats.org/officeDocument/2006/relationships/hyperlink" Target="https://chartink.com/screener/copy-all-time-high-stocks-11213" TargetMode="External"/><Relationship Id="rId3" Type="http://schemas.openxmlformats.org/officeDocument/2006/relationships/hyperlink" Target="https://chartink.com/screener/nifty-500-all-time-high-stocks-6" TargetMode="External"/><Relationship Id="rId4" Type="http://schemas.openxmlformats.org/officeDocument/2006/relationships/hyperlink" Target="https://www.nseindia.com/market-data/52-week-high-equity-market" TargetMode="External"/><Relationship Id="rId5" Type="http://schemas.openxmlformats.org/officeDocument/2006/relationships/hyperlink" Target="https://www.nseindia.com/market-data/52-week-low-equity-market" TargetMode="External"/><Relationship Id="rId6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chartink.com/screener/copy-day-volume-above-2-crore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upport.google.com/docs/answer/3093281" TargetMode="External"/><Relationship Id="rId2" Type="http://schemas.openxmlformats.org/officeDocument/2006/relationships/hyperlink" Target="http://s.no/" TargetMode="External"/><Relationship Id="rId3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35.88"/>
    <col customWidth="1" min="3" max="3" width="14.63"/>
    <col customWidth="1" min="7" max="7" width="3.5"/>
    <col customWidth="1" min="14" max="14" width="15.38"/>
    <col customWidth="1" min="15" max="15" width="53.63"/>
  </cols>
  <sheetData>
    <row r="1">
      <c r="A1" s="1"/>
      <c r="B1" s="2" t="s">
        <v>0</v>
      </c>
      <c r="H1" s="2" t="s">
        <v>0</v>
      </c>
      <c r="N1" s="3"/>
      <c r="O1" s="4" t="s">
        <v>1</v>
      </c>
    </row>
    <row r="2">
      <c r="A2" s="5"/>
      <c r="B2" s="6" t="s">
        <v>2</v>
      </c>
      <c r="H2" s="6" t="s">
        <v>3</v>
      </c>
      <c r="N2" s="4" t="s">
        <v>4</v>
      </c>
      <c r="O2" s="7" t="s">
        <v>5</v>
      </c>
    </row>
    <row r="3">
      <c r="A3" s="8"/>
      <c r="B3" s="9" t="s">
        <v>6</v>
      </c>
      <c r="C3" s="10" t="s">
        <v>7</v>
      </c>
      <c r="D3" s="10" t="s">
        <v>8</v>
      </c>
      <c r="E3" s="9" t="s">
        <v>9</v>
      </c>
      <c r="F3" s="9" t="s">
        <v>10</v>
      </c>
      <c r="G3" s="11"/>
      <c r="H3" s="9" t="s">
        <v>6</v>
      </c>
      <c r="I3" s="10" t="s">
        <v>7</v>
      </c>
      <c r="J3" s="12" t="s">
        <v>9</v>
      </c>
      <c r="K3" s="13" t="s">
        <v>8</v>
      </c>
      <c r="L3" s="9" t="s">
        <v>10</v>
      </c>
      <c r="M3" s="11"/>
      <c r="N3" s="4" t="s">
        <v>11</v>
      </c>
      <c r="O3" s="14" t="s">
        <v>12</v>
      </c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</row>
    <row r="4">
      <c r="A4" s="5"/>
      <c r="B4" s="6" t="s">
        <v>13</v>
      </c>
      <c r="C4" s="15">
        <v>100200.0</v>
      </c>
      <c r="D4" s="15">
        <v>100200.0</v>
      </c>
      <c r="E4" s="15">
        <v>38280.0</v>
      </c>
      <c r="F4" s="16">
        <v>8914.0</v>
      </c>
      <c r="H4" s="6" t="s">
        <v>13</v>
      </c>
      <c r="I4" s="15">
        <v>100200.0</v>
      </c>
      <c r="J4" s="15">
        <v>100200.0</v>
      </c>
      <c r="K4" s="15">
        <v>38280.0</v>
      </c>
      <c r="L4" s="16">
        <v>8914.0</v>
      </c>
    </row>
    <row r="5">
      <c r="A5" s="5"/>
      <c r="B5" s="6" t="s">
        <v>14</v>
      </c>
      <c r="C5" s="17">
        <v>7376.15</v>
      </c>
      <c r="D5" s="17">
        <v>7376.15</v>
      </c>
      <c r="E5" s="17">
        <v>7200.0</v>
      </c>
      <c r="F5" s="18">
        <v>863826.0</v>
      </c>
      <c r="H5" s="6" t="s">
        <v>14</v>
      </c>
      <c r="I5" s="17">
        <v>7376.15</v>
      </c>
      <c r="J5" s="17">
        <v>7376.15</v>
      </c>
      <c r="K5" s="17">
        <v>7200.0</v>
      </c>
      <c r="L5" s="18">
        <v>863826.0</v>
      </c>
    </row>
    <row r="6">
      <c r="A6" s="5"/>
      <c r="B6" s="6" t="s">
        <v>15</v>
      </c>
      <c r="C6" s="15">
        <v>3899.0</v>
      </c>
      <c r="D6" s="15">
        <v>3899.0</v>
      </c>
      <c r="E6" s="15">
        <v>3800.0</v>
      </c>
      <c r="F6" s="16">
        <v>1946931.0</v>
      </c>
      <c r="H6" s="6" t="s">
        <v>15</v>
      </c>
      <c r="I6" s="15">
        <v>3899.0</v>
      </c>
      <c r="J6" s="15">
        <v>3899.0</v>
      </c>
      <c r="K6" s="15">
        <v>3800.0</v>
      </c>
      <c r="L6" s="16">
        <v>1946931.0</v>
      </c>
      <c r="N6" s="19" t="s">
        <v>16</v>
      </c>
      <c r="O6" s="20" t="s">
        <v>17</v>
      </c>
    </row>
    <row r="7">
      <c r="A7" s="5"/>
      <c r="B7" s="6" t="s">
        <v>18</v>
      </c>
      <c r="C7" s="17">
        <v>2490.0</v>
      </c>
      <c r="D7" s="17">
        <v>2490.0</v>
      </c>
      <c r="E7" s="17">
        <v>2428.85</v>
      </c>
      <c r="F7" s="18">
        <v>1276432.0</v>
      </c>
      <c r="H7" s="6" t="s">
        <v>18</v>
      </c>
      <c r="I7" s="17">
        <v>2490.0</v>
      </c>
      <c r="J7" s="17">
        <v>2490.0</v>
      </c>
      <c r="K7" s="17">
        <v>2428.85</v>
      </c>
      <c r="L7" s="18">
        <v>1276432.0</v>
      </c>
    </row>
    <row r="8">
      <c r="A8" s="5"/>
      <c r="B8" s="6" t="s">
        <v>19</v>
      </c>
      <c r="C8" s="15">
        <v>2435.0</v>
      </c>
      <c r="D8" s="15">
        <v>2435.0</v>
      </c>
      <c r="E8" s="15">
        <v>2390.0</v>
      </c>
      <c r="F8" s="16">
        <v>2479711.0</v>
      </c>
      <c r="H8" s="6" t="s">
        <v>19</v>
      </c>
      <c r="I8" s="15">
        <v>2435.0</v>
      </c>
      <c r="J8" s="15">
        <v>2435.0</v>
      </c>
      <c r="K8" s="15">
        <v>2390.0</v>
      </c>
      <c r="L8" s="16">
        <v>2479711.0</v>
      </c>
    </row>
    <row r="9">
      <c r="A9" s="5"/>
      <c r="B9" s="6" t="s">
        <v>20</v>
      </c>
      <c r="C9" s="17">
        <v>1543.2</v>
      </c>
      <c r="D9" s="17">
        <v>1543.2</v>
      </c>
      <c r="E9" s="17">
        <v>1502.15</v>
      </c>
      <c r="F9" s="18">
        <v>1943763.0</v>
      </c>
      <c r="H9" s="6" t="s">
        <v>20</v>
      </c>
      <c r="I9" s="17">
        <v>1543.2</v>
      </c>
      <c r="J9" s="17">
        <v>1543.2</v>
      </c>
      <c r="K9" s="17">
        <v>1502.15</v>
      </c>
      <c r="L9" s="18">
        <v>1943763.0</v>
      </c>
    </row>
    <row r="10">
      <c r="A10" s="5"/>
      <c r="B10" s="6" t="s">
        <v>21</v>
      </c>
      <c r="C10" s="15">
        <v>898.9</v>
      </c>
      <c r="D10" s="15">
        <v>898.9</v>
      </c>
      <c r="E10" s="15">
        <v>889.35</v>
      </c>
      <c r="F10" s="16">
        <v>585057.0</v>
      </c>
      <c r="H10" s="6" t="s">
        <v>21</v>
      </c>
      <c r="I10" s="15">
        <v>898.9</v>
      </c>
      <c r="J10" s="15">
        <v>898.9</v>
      </c>
      <c r="K10" s="15">
        <v>889.35</v>
      </c>
      <c r="L10" s="16">
        <v>585057.0</v>
      </c>
    </row>
    <row r="11">
      <c r="A11" s="5"/>
      <c r="B11" s="6" t="s">
        <v>22</v>
      </c>
      <c r="C11" s="17">
        <v>454.8</v>
      </c>
      <c r="D11" s="17">
        <v>454.8</v>
      </c>
      <c r="E11" s="17">
        <v>450.15</v>
      </c>
      <c r="F11" s="18">
        <v>4472119.0</v>
      </c>
      <c r="H11" s="6" t="s">
        <v>22</v>
      </c>
      <c r="I11" s="17">
        <v>454.8</v>
      </c>
      <c r="J11" s="17">
        <v>454.8</v>
      </c>
      <c r="K11" s="17">
        <v>450.15</v>
      </c>
      <c r="L11" s="18">
        <v>4472119.0</v>
      </c>
    </row>
    <row r="12">
      <c r="A12" s="5"/>
      <c r="B12" s="6" t="s">
        <v>23</v>
      </c>
      <c r="C12" s="15">
        <v>295.2</v>
      </c>
      <c r="D12" s="15">
        <v>295.2</v>
      </c>
      <c r="E12" s="15">
        <v>291.0</v>
      </c>
      <c r="F12" s="16">
        <v>947694.0</v>
      </c>
      <c r="H12" s="6" t="s">
        <v>23</v>
      </c>
      <c r="I12" s="15">
        <v>295.2</v>
      </c>
      <c r="J12" s="15">
        <v>295.2</v>
      </c>
      <c r="K12" s="15">
        <v>291.0</v>
      </c>
      <c r="L12" s="16">
        <v>947694.0</v>
      </c>
    </row>
    <row r="13">
      <c r="A13" s="5"/>
      <c r="B13" s="6" t="s">
        <v>24</v>
      </c>
      <c r="C13" s="17">
        <v>227.75</v>
      </c>
      <c r="D13" s="17">
        <v>227.75</v>
      </c>
      <c r="E13" s="17">
        <v>225.5</v>
      </c>
      <c r="F13" s="18">
        <v>5024593.0</v>
      </c>
      <c r="H13" s="6" t="s">
        <v>24</v>
      </c>
      <c r="I13" s="17">
        <v>227.75</v>
      </c>
      <c r="J13" s="17">
        <v>227.75</v>
      </c>
      <c r="K13" s="17">
        <v>225.5</v>
      </c>
      <c r="L13" s="18">
        <v>5024593.0</v>
      </c>
    </row>
    <row r="14">
      <c r="A14" s="5"/>
      <c r="B14" s="6"/>
      <c r="C14" s="6"/>
      <c r="D14" s="6"/>
      <c r="E14" s="6"/>
      <c r="F14" s="6"/>
    </row>
    <row r="15">
      <c r="A15" s="21"/>
      <c r="B15" s="22"/>
      <c r="C15" s="6"/>
      <c r="D15" s="6"/>
      <c r="E15" s="6"/>
      <c r="F15" s="6"/>
    </row>
    <row r="16">
      <c r="A16" s="23"/>
      <c r="B16" s="24" t="s">
        <v>25</v>
      </c>
      <c r="C16" s="6"/>
      <c r="D16" s="25"/>
      <c r="E16" s="6"/>
      <c r="F16" s="6"/>
    </row>
    <row r="17">
      <c r="A17" s="5"/>
      <c r="B17" s="6"/>
      <c r="C17" s="6"/>
      <c r="D17" s="25"/>
      <c r="E17" s="6"/>
      <c r="F17" s="6"/>
    </row>
    <row r="18">
      <c r="A18" s="26">
        <v>1.0</v>
      </c>
      <c r="B18" s="27" t="s">
        <v>26</v>
      </c>
      <c r="C18" s="28" t="s">
        <v>27</v>
      </c>
      <c r="D18" s="29"/>
      <c r="E18" s="30"/>
      <c r="F18" s="6"/>
    </row>
    <row r="19">
      <c r="A19" s="26">
        <v>2.0</v>
      </c>
      <c r="B19" s="31" t="s">
        <v>28</v>
      </c>
      <c r="C19" s="28" t="s">
        <v>27</v>
      </c>
      <c r="D19" s="29"/>
      <c r="E19" s="30"/>
      <c r="F19" s="6"/>
    </row>
    <row r="20">
      <c r="A20" s="26">
        <v>3.0</v>
      </c>
      <c r="B20" s="31" t="s">
        <v>29</v>
      </c>
      <c r="C20" s="28" t="s">
        <v>27</v>
      </c>
      <c r="D20" s="29"/>
      <c r="E20" s="30"/>
      <c r="F20" s="6"/>
    </row>
    <row r="21">
      <c r="A21" s="26">
        <v>4.0</v>
      </c>
      <c r="B21" s="31" t="s">
        <v>30</v>
      </c>
      <c r="C21" s="28" t="s">
        <v>27</v>
      </c>
      <c r="D21" s="32"/>
      <c r="E21" s="30"/>
      <c r="F21" s="6"/>
    </row>
    <row r="22">
      <c r="A22" s="26">
        <v>5.0</v>
      </c>
      <c r="B22" s="31" t="s">
        <v>31</v>
      </c>
      <c r="C22" s="28" t="s">
        <v>27</v>
      </c>
      <c r="D22" s="29"/>
      <c r="E22" s="30"/>
      <c r="F22" s="6"/>
    </row>
    <row r="23">
      <c r="A23" s="26">
        <v>6.0</v>
      </c>
      <c r="B23" s="31" t="s">
        <v>32</v>
      </c>
      <c r="C23" s="28" t="s">
        <v>27</v>
      </c>
      <c r="D23" s="29"/>
      <c r="E23" s="30"/>
      <c r="F23" s="6"/>
    </row>
    <row r="24">
      <c r="A24" s="26">
        <v>7.0</v>
      </c>
      <c r="B24" s="31" t="s">
        <v>33</v>
      </c>
      <c r="C24" s="28" t="s">
        <v>27</v>
      </c>
      <c r="D24" s="29"/>
      <c r="E24" s="30"/>
      <c r="F24" s="6"/>
    </row>
    <row r="25">
      <c r="A25" s="26">
        <v>8.0</v>
      </c>
      <c r="B25" s="31" t="s">
        <v>34</v>
      </c>
      <c r="C25" s="28" t="s">
        <v>27</v>
      </c>
      <c r="D25" s="29"/>
      <c r="E25" s="30"/>
      <c r="F25" s="6"/>
    </row>
    <row r="26">
      <c r="A26" s="26">
        <v>9.0</v>
      </c>
      <c r="B26" s="31" t="s">
        <v>35</v>
      </c>
      <c r="C26" s="28" t="s">
        <v>27</v>
      </c>
      <c r="D26" s="29"/>
      <c r="E26" s="30"/>
      <c r="F26" s="6"/>
    </row>
    <row r="27">
      <c r="A27" s="26">
        <v>10.0</v>
      </c>
      <c r="B27" s="31" t="s">
        <v>36</v>
      </c>
      <c r="C27" s="28" t="s">
        <v>27</v>
      </c>
      <c r="D27" s="29"/>
      <c r="E27" s="30"/>
      <c r="F27" s="6"/>
    </row>
    <row r="28">
      <c r="A28" s="26">
        <v>11.0</v>
      </c>
      <c r="B28" s="31" t="s">
        <v>37</v>
      </c>
      <c r="C28" s="28" t="s">
        <v>27</v>
      </c>
      <c r="D28" s="29"/>
      <c r="E28" s="30"/>
      <c r="F28" s="6"/>
    </row>
    <row r="29">
      <c r="A29" s="26">
        <v>12.0</v>
      </c>
      <c r="B29" s="31" t="s">
        <v>38</v>
      </c>
      <c r="C29" s="28" t="s">
        <v>27</v>
      </c>
      <c r="D29" s="32"/>
      <c r="E29" s="30"/>
    </row>
    <row r="30">
      <c r="A30" s="26">
        <v>13.0</v>
      </c>
      <c r="B30" s="31" t="s">
        <v>39</v>
      </c>
      <c r="C30" s="28" t="s">
        <v>27</v>
      </c>
      <c r="D30" s="32"/>
      <c r="E30" s="30"/>
    </row>
    <row r="31">
      <c r="A31" s="26">
        <v>14.0</v>
      </c>
      <c r="B31" s="31" t="s">
        <v>40</v>
      </c>
      <c r="C31" s="28" t="s">
        <v>27</v>
      </c>
      <c r="D31" s="32"/>
      <c r="E31" s="30"/>
    </row>
    <row r="32">
      <c r="A32" s="26">
        <v>15.0</v>
      </c>
      <c r="B32" s="31" t="s">
        <v>41</v>
      </c>
      <c r="C32" s="28" t="s">
        <v>27</v>
      </c>
      <c r="D32" s="32"/>
      <c r="E32" s="30"/>
    </row>
    <row r="33">
      <c r="A33" s="26"/>
      <c r="B33" s="31"/>
      <c r="C33" s="33"/>
      <c r="D33" s="32"/>
      <c r="E33" s="30"/>
    </row>
    <row r="34">
      <c r="A34" s="34"/>
    </row>
    <row r="35">
      <c r="A35" s="34"/>
    </row>
    <row r="36">
      <c r="A36" s="34"/>
    </row>
    <row r="37">
      <c r="A37" s="34"/>
    </row>
    <row r="38">
      <c r="A38" s="34"/>
    </row>
    <row r="39">
      <c r="A39" s="34"/>
    </row>
    <row r="40">
      <c r="A40" s="34"/>
    </row>
    <row r="41">
      <c r="A41" s="34"/>
    </row>
    <row r="42">
      <c r="A42" s="5"/>
      <c r="B42" s="6"/>
      <c r="C42" s="6"/>
      <c r="D42" s="25"/>
      <c r="E42" s="6"/>
      <c r="F42" s="6"/>
    </row>
    <row r="43">
      <c r="A43" s="5"/>
      <c r="B43" s="6"/>
      <c r="C43" s="6"/>
      <c r="D43" s="25"/>
      <c r="E43" s="6"/>
      <c r="F43" s="6"/>
    </row>
    <row r="44">
      <c r="A44" s="34"/>
    </row>
    <row r="45">
      <c r="A45" s="34"/>
    </row>
    <row r="46">
      <c r="A46" s="34"/>
    </row>
    <row r="47">
      <c r="A47" s="34"/>
    </row>
    <row r="48">
      <c r="A48" s="34"/>
    </row>
    <row r="49">
      <c r="A49" s="34"/>
    </row>
    <row r="50">
      <c r="A50" s="34"/>
    </row>
    <row r="51">
      <c r="A51" s="34"/>
    </row>
    <row r="52">
      <c r="A52" s="34"/>
    </row>
    <row r="53">
      <c r="A53" s="34"/>
    </row>
    <row r="54">
      <c r="A54" s="34"/>
    </row>
    <row r="55">
      <c r="A55" s="34"/>
    </row>
    <row r="56">
      <c r="A56" s="34"/>
    </row>
    <row r="57">
      <c r="A57" s="34"/>
    </row>
    <row r="58">
      <c r="A58" s="34"/>
    </row>
    <row r="59">
      <c r="A59" s="34"/>
    </row>
    <row r="60">
      <c r="A60" s="34"/>
    </row>
    <row r="61">
      <c r="A61" s="34"/>
    </row>
    <row r="62">
      <c r="A62" s="34"/>
    </row>
    <row r="63">
      <c r="A63" s="34"/>
    </row>
    <row r="64">
      <c r="A64" s="34"/>
    </row>
    <row r="65">
      <c r="A65" s="34"/>
    </row>
    <row r="66">
      <c r="A66" s="34"/>
    </row>
    <row r="67">
      <c r="A67" s="34"/>
    </row>
    <row r="68">
      <c r="A68" s="34"/>
    </row>
    <row r="69">
      <c r="A69" s="34"/>
    </row>
    <row r="70">
      <c r="A70" s="34"/>
    </row>
    <row r="71">
      <c r="A71" s="34"/>
    </row>
    <row r="72">
      <c r="A72" s="34"/>
    </row>
    <row r="73">
      <c r="A73" s="34"/>
    </row>
    <row r="74">
      <c r="A74" s="34"/>
    </row>
    <row r="75">
      <c r="A75" s="34"/>
    </row>
    <row r="76">
      <c r="A76" s="34"/>
    </row>
    <row r="77">
      <c r="A77" s="34"/>
    </row>
    <row r="78">
      <c r="A78" s="34"/>
    </row>
    <row r="79">
      <c r="A79" s="34"/>
    </row>
    <row r="80">
      <c r="A80" s="34"/>
    </row>
    <row r="81">
      <c r="A81" s="34"/>
    </row>
    <row r="82">
      <c r="A82" s="34"/>
    </row>
    <row r="83">
      <c r="A83" s="34"/>
    </row>
    <row r="84">
      <c r="A84" s="34"/>
    </row>
    <row r="85">
      <c r="A85" s="34"/>
    </row>
    <row r="86">
      <c r="A86" s="34"/>
    </row>
    <row r="87">
      <c r="A87" s="34"/>
    </row>
    <row r="88">
      <c r="A88" s="34"/>
    </row>
    <row r="89">
      <c r="A89" s="34"/>
    </row>
    <row r="90">
      <c r="A90" s="34"/>
    </row>
    <row r="91">
      <c r="A91" s="34"/>
    </row>
    <row r="92">
      <c r="A92" s="34"/>
    </row>
    <row r="93">
      <c r="A93" s="34"/>
    </row>
    <row r="94">
      <c r="A94" s="34"/>
    </row>
    <row r="95">
      <c r="A95" s="34"/>
    </row>
    <row r="96">
      <c r="A96" s="34"/>
    </row>
    <row r="97">
      <c r="A97" s="34"/>
    </row>
    <row r="98">
      <c r="A98" s="34"/>
    </row>
    <row r="99">
      <c r="A99" s="34"/>
    </row>
    <row r="100">
      <c r="A100" s="34"/>
    </row>
    <row r="101">
      <c r="A101" s="34"/>
    </row>
    <row r="102">
      <c r="A102" s="34"/>
    </row>
    <row r="103">
      <c r="A103" s="34"/>
    </row>
    <row r="104">
      <c r="A104" s="34"/>
    </row>
    <row r="105">
      <c r="A105" s="34"/>
    </row>
    <row r="106">
      <c r="A106" s="34"/>
    </row>
    <row r="107">
      <c r="A107" s="34"/>
    </row>
    <row r="108">
      <c r="A108" s="34"/>
    </row>
    <row r="109">
      <c r="A109" s="34"/>
    </row>
    <row r="110">
      <c r="A110" s="34"/>
    </row>
    <row r="111">
      <c r="A111" s="34"/>
    </row>
    <row r="112">
      <c r="A112" s="34"/>
    </row>
    <row r="113">
      <c r="A113" s="34"/>
    </row>
    <row r="114">
      <c r="A114" s="34"/>
    </row>
    <row r="115">
      <c r="A115" s="34"/>
    </row>
    <row r="116">
      <c r="A116" s="34"/>
    </row>
    <row r="117">
      <c r="A117" s="34"/>
    </row>
    <row r="118">
      <c r="A118" s="34"/>
    </row>
    <row r="119">
      <c r="A119" s="34"/>
    </row>
    <row r="120">
      <c r="A120" s="34"/>
    </row>
    <row r="121">
      <c r="A121" s="34"/>
    </row>
    <row r="122">
      <c r="A122" s="34"/>
    </row>
    <row r="123">
      <c r="A123" s="34"/>
    </row>
    <row r="124">
      <c r="A124" s="34"/>
    </row>
    <row r="125">
      <c r="A125" s="34"/>
    </row>
    <row r="126">
      <c r="A126" s="34"/>
    </row>
    <row r="127">
      <c r="A127" s="34"/>
    </row>
    <row r="128">
      <c r="A128" s="34"/>
    </row>
    <row r="129">
      <c r="A129" s="34"/>
    </row>
    <row r="130">
      <c r="A130" s="34"/>
    </row>
    <row r="131">
      <c r="A131" s="34"/>
    </row>
    <row r="132">
      <c r="A132" s="34"/>
    </row>
    <row r="133">
      <c r="A133" s="34"/>
    </row>
    <row r="134">
      <c r="A134" s="34"/>
    </row>
    <row r="135">
      <c r="A135" s="34"/>
    </row>
    <row r="136">
      <c r="A136" s="34"/>
    </row>
    <row r="137">
      <c r="A137" s="34"/>
    </row>
    <row r="138">
      <c r="A138" s="34"/>
    </row>
    <row r="139">
      <c r="A139" s="34"/>
    </row>
    <row r="140">
      <c r="A140" s="34"/>
    </row>
    <row r="141">
      <c r="A141" s="34"/>
    </row>
    <row r="142">
      <c r="A142" s="34"/>
    </row>
    <row r="143">
      <c r="A143" s="34"/>
    </row>
    <row r="144">
      <c r="A144" s="34"/>
    </row>
    <row r="145">
      <c r="A145" s="34"/>
    </row>
    <row r="146">
      <c r="A146" s="34"/>
    </row>
    <row r="147">
      <c r="A147" s="34"/>
    </row>
    <row r="148">
      <c r="A148" s="34"/>
    </row>
    <row r="149">
      <c r="A149" s="34"/>
    </row>
    <row r="150">
      <c r="A150" s="34"/>
    </row>
    <row r="151">
      <c r="A151" s="34"/>
    </row>
    <row r="152">
      <c r="A152" s="34"/>
    </row>
    <row r="153">
      <c r="A153" s="34"/>
    </row>
    <row r="154">
      <c r="A154" s="34"/>
    </row>
    <row r="155">
      <c r="A155" s="34"/>
    </row>
    <row r="156">
      <c r="A156" s="34"/>
    </row>
    <row r="157">
      <c r="A157" s="34"/>
    </row>
    <row r="158">
      <c r="A158" s="34"/>
    </row>
    <row r="159">
      <c r="A159" s="34"/>
    </row>
    <row r="160">
      <c r="A160" s="34"/>
    </row>
    <row r="161">
      <c r="A161" s="34"/>
    </row>
    <row r="162">
      <c r="A162" s="34"/>
    </row>
    <row r="163">
      <c r="A163" s="34"/>
    </row>
    <row r="164">
      <c r="A164" s="34"/>
    </row>
    <row r="165">
      <c r="A165" s="34"/>
    </row>
    <row r="166">
      <c r="A166" s="34"/>
    </row>
    <row r="167">
      <c r="A167" s="34"/>
    </row>
    <row r="168">
      <c r="A168" s="34"/>
    </row>
    <row r="169">
      <c r="A169" s="34"/>
    </row>
    <row r="170">
      <c r="A170" s="34"/>
    </row>
    <row r="171">
      <c r="A171" s="34"/>
    </row>
    <row r="172">
      <c r="A172" s="34"/>
    </row>
    <row r="173">
      <c r="A173" s="34"/>
    </row>
    <row r="174">
      <c r="A174" s="34"/>
    </row>
    <row r="175">
      <c r="A175" s="34"/>
    </row>
    <row r="176">
      <c r="A176" s="34"/>
    </row>
    <row r="177">
      <c r="A177" s="34"/>
    </row>
    <row r="178">
      <c r="A178" s="34"/>
    </row>
    <row r="179">
      <c r="A179" s="34"/>
    </row>
    <row r="180">
      <c r="A180" s="34"/>
    </row>
    <row r="181">
      <c r="A181" s="34"/>
    </row>
    <row r="182">
      <c r="A182" s="34"/>
    </row>
    <row r="183">
      <c r="A183" s="34"/>
    </row>
    <row r="184">
      <c r="A184" s="34"/>
    </row>
    <row r="185">
      <c r="A185" s="34"/>
    </row>
    <row r="186">
      <c r="A186" s="34"/>
    </row>
    <row r="187">
      <c r="A187" s="34"/>
    </row>
    <row r="188">
      <c r="A188" s="34"/>
    </row>
    <row r="189">
      <c r="A189" s="34"/>
    </row>
    <row r="190">
      <c r="A190" s="34"/>
    </row>
    <row r="191">
      <c r="A191" s="34"/>
    </row>
    <row r="192">
      <c r="A192" s="34"/>
    </row>
    <row r="193">
      <c r="A193" s="34"/>
    </row>
    <row r="194">
      <c r="A194" s="34"/>
    </row>
    <row r="195">
      <c r="A195" s="34"/>
    </row>
    <row r="196">
      <c r="A196" s="34"/>
    </row>
    <row r="197">
      <c r="A197" s="34"/>
    </row>
    <row r="198">
      <c r="A198" s="34"/>
    </row>
    <row r="199">
      <c r="A199" s="34"/>
    </row>
    <row r="200">
      <c r="A200" s="34"/>
    </row>
    <row r="201">
      <c r="A201" s="34"/>
    </row>
    <row r="202">
      <c r="A202" s="34"/>
    </row>
    <row r="203">
      <c r="A203" s="34"/>
    </row>
    <row r="204">
      <c r="A204" s="34"/>
    </row>
    <row r="205">
      <c r="A205" s="34"/>
    </row>
    <row r="206">
      <c r="A206" s="34"/>
    </row>
    <row r="207">
      <c r="A207" s="34"/>
    </row>
    <row r="208">
      <c r="A208" s="34"/>
    </row>
    <row r="209">
      <c r="A209" s="34"/>
    </row>
    <row r="210">
      <c r="A210" s="34"/>
    </row>
    <row r="211">
      <c r="A211" s="34"/>
    </row>
    <row r="212">
      <c r="A212" s="34"/>
    </row>
    <row r="213">
      <c r="A213" s="34"/>
    </row>
    <row r="214">
      <c r="A214" s="34"/>
    </row>
    <row r="215">
      <c r="A215" s="34"/>
    </row>
    <row r="216">
      <c r="A216" s="34"/>
    </row>
    <row r="217">
      <c r="A217" s="34"/>
    </row>
    <row r="218">
      <c r="A218" s="34"/>
    </row>
    <row r="219">
      <c r="A219" s="34"/>
    </row>
    <row r="220">
      <c r="A220" s="34"/>
    </row>
    <row r="221">
      <c r="A221" s="34"/>
    </row>
    <row r="222">
      <c r="A222" s="34"/>
    </row>
    <row r="223">
      <c r="A223" s="34"/>
    </row>
    <row r="224">
      <c r="A224" s="34"/>
    </row>
    <row r="225">
      <c r="A225" s="34"/>
    </row>
    <row r="226">
      <c r="A226" s="34"/>
    </row>
    <row r="227">
      <c r="A227" s="34"/>
    </row>
    <row r="228">
      <c r="A228" s="34"/>
    </row>
    <row r="229">
      <c r="A229" s="34"/>
    </row>
    <row r="230">
      <c r="A230" s="34"/>
    </row>
    <row r="231">
      <c r="A231" s="34"/>
    </row>
    <row r="232">
      <c r="A232" s="34"/>
    </row>
    <row r="233">
      <c r="A233" s="34"/>
    </row>
    <row r="234">
      <c r="A234" s="34"/>
    </row>
    <row r="235">
      <c r="A235" s="34"/>
    </row>
    <row r="236">
      <c r="A236" s="34"/>
    </row>
    <row r="237">
      <c r="A237" s="34"/>
    </row>
    <row r="238">
      <c r="A238" s="34"/>
    </row>
    <row r="239">
      <c r="A239" s="34"/>
    </row>
    <row r="240">
      <c r="A240" s="34"/>
    </row>
    <row r="241">
      <c r="A241" s="34"/>
    </row>
    <row r="242">
      <c r="A242" s="34"/>
    </row>
    <row r="243">
      <c r="A243" s="34"/>
    </row>
    <row r="244">
      <c r="A244" s="34"/>
    </row>
    <row r="245">
      <c r="A245" s="34"/>
    </row>
    <row r="246">
      <c r="A246" s="34"/>
    </row>
    <row r="247">
      <c r="A247" s="34"/>
    </row>
    <row r="248">
      <c r="A248" s="34"/>
    </row>
    <row r="249">
      <c r="A249" s="34"/>
    </row>
    <row r="250">
      <c r="A250" s="34"/>
    </row>
    <row r="251">
      <c r="A251" s="34"/>
    </row>
    <row r="252">
      <c r="A252" s="34"/>
    </row>
    <row r="253">
      <c r="A253" s="34"/>
    </row>
    <row r="254">
      <c r="A254" s="34"/>
    </row>
    <row r="255">
      <c r="A255" s="34"/>
    </row>
    <row r="256">
      <c r="A256" s="34"/>
    </row>
    <row r="257">
      <c r="A257" s="34"/>
    </row>
    <row r="258">
      <c r="A258" s="34"/>
    </row>
    <row r="259">
      <c r="A259" s="34"/>
    </row>
    <row r="260">
      <c r="A260" s="34"/>
    </row>
    <row r="261">
      <c r="A261" s="34"/>
    </row>
    <row r="262">
      <c r="A262" s="34"/>
    </row>
    <row r="263">
      <c r="A263" s="34"/>
    </row>
    <row r="264">
      <c r="A264" s="34"/>
    </row>
    <row r="265">
      <c r="A265" s="34"/>
    </row>
    <row r="266">
      <c r="A266" s="34"/>
    </row>
    <row r="267">
      <c r="A267" s="34"/>
    </row>
    <row r="268">
      <c r="A268" s="34"/>
    </row>
    <row r="269">
      <c r="A269" s="34"/>
    </row>
    <row r="270">
      <c r="A270" s="34"/>
    </row>
    <row r="271">
      <c r="A271" s="34"/>
    </row>
    <row r="272">
      <c r="A272" s="34"/>
    </row>
    <row r="273">
      <c r="A273" s="34"/>
    </row>
    <row r="274">
      <c r="A274" s="34"/>
    </row>
    <row r="275">
      <c r="A275" s="34"/>
    </row>
    <row r="276">
      <c r="A276" s="34"/>
    </row>
    <row r="277">
      <c r="A277" s="34"/>
    </row>
    <row r="278">
      <c r="A278" s="34"/>
    </row>
    <row r="279">
      <c r="A279" s="34"/>
    </row>
    <row r="280">
      <c r="A280" s="34"/>
    </row>
    <row r="281">
      <c r="A281" s="34"/>
    </row>
    <row r="282">
      <c r="A282" s="34"/>
    </row>
    <row r="283">
      <c r="A283" s="34"/>
    </row>
    <row r="284">
      <c r="A284" s="34"/>
    </row>
    <row r="285">
      <c r="A285" s="34"/>
    </row>
    <row r="286">
      <c r="A286" s="34"/>
    </row>
    <row r="287">
      <c r="A287" s="34"/>
    </row>
    <row r="288">
      <c r="A288" s="34"/>
    </row>
    <row r="289">
      <c r="A289" s="34"/>
    </row>
    <row r="290">
      <c r="A290" s="34"/>
    </row>
    <row r="291">
      <c r="A291" s="34"/>
    </row>
    <row r="292">
      <c r="A292" s="34"/>
    </row>
    <row r="293">
      <c r="A293" s="34"/>
    </row>
    <row r="294">
      <c r="A294" s="34"/>
    </row>
    <row r="295">
      <c r="A295" s="34"/>
    </row>
    <row r="296">
      <c r="A296" s="34"/>
    </row>
    <row r="297">
      <c r="A297" s="34"/>
    </row>
    <row r="298">
      <c r="A298" s="34"/>
    </row>
    <row r="299">
      <c r="A299" s="34"/>
    </row>
    <row r="300">
      <c r="A300" s="34"/>
    </row>
    <row r="301">
      <c r="A301" s="34"/>
    </row>
    <row r="302">
      <c r="A302" s="34"/>
    </row>
    <row r="303">
      <c r="A303" s="34"/>
    </row>
    <row r="304">
      <c r="A304" s="34"/>
    </row>
    <row r="305">
      <c r="A305" s="34"/>
    </row>
    <row r="306">
      <c r="A306" s="34"/>
    </row>
    <row r="307">
      <c r="A307" s="34"/>
    </row>
    <row r="308">
      <c r="A308" s="34"/>
    </row>
    <row r="309">
      <c r="A309" s="34"/>
    </row>
    <row r="310">
      <c r="A310" s="34"/>
    </row>
    <row r="311">
      <c r="A311" s="34"/>
    </row>
    <row r="312">
      <c r="A312" s="34"/>
    </row>
    <row r="313">
      <c r="A313" s="34"/>
    </row>
    <row r="314">
      <c r="A314" s="34"/>
    </row>
    <row r="315">
      <c r="A315" s="34"/>
    </row>
    <row r="316">
      <c r="A316" s="34"/>
    </row>
    <row r="317">
      <c r="A317" s="34"/>
    </row>
    <row r="318">
      <c r="A318" s="34"/>
    </row>
    <row r="319">
      <c r="A319" s="34"/>
    </row>
    <row r="320">
      <c r="A320" s="34"/>
    </row>
    <row r="321">
      <c r="A321" s="34"/>
    </row>
    <row r="322">
      <c r="A322" s="34"/>
    </row>
    <row r="323">
      <c r="A323" s="34"/>
    </row>
    <row r="324">
      <c r="A324" s="34"/>
    </row>
    <row r="325">
      <c r="A325" s="34"/>
    </row>
    <row r="326">
      <c r="A326" s="34"/>
    </row>
    <row r="327">
      <c r="A327" s="34"/>
    </row>
    <row r="328">
      <c r="A328" s="34"/>
    </row>
    <row r="329">
      <c r="A329" s="34"/>
    </row>
    <row r="330">
      <c r="A330" s="34"/>
    </row>
    <row r="331">
      <c r="A331" s="34"/>
    </row>
    <row r="332">
      <c r="A332" s="34"/>
    </row>
    <row r="333">
      <c r="A333" s="34"/>
    </row>
    <row r="334">
      <c r="A334" s="34"/>
    </row>
    <row r="335">
      <c r="A335" s="34"/>
    </row>
    <row r="336">
      <c r="A336" s="34"/>
    </row>
    <row r="337">
      <c r="A337" s="34"/>
    </row>
    <row r="338">
      <c r="A338" s="34"/>
    </row>
    <row r="339">
      <c r="A339" s="34"/>
    </row>
    <row r="340">
      <c r="A340" s="34"/>
    </row>
    <row r="341">
      <c r="A341" s="34"/>
    </row>
    <row r="342">
      <c r="A342" s="34"/>
    </row>
    <row r="343">
      <c r="A343" s="34"/>
    </row>
    <row r="344">
      <c r="A344" s="34"/>
    </row>
    <row r="345">
      <c r="A345" s="34"/>
    </row>
    <row r="346">
      <c r="A346" s="34"/>
    </row>
    <row r="347">
      <c r="A347" s="34"/>
    </row>
    <row r="348">
      <c r="A348" s="34"/>
    </row>
    <row r="349">
      <c r="A349" s="34"/>
    </row>
    <row r="350">
      <c r="A350" s="34"/>
    </row>
    <row r="351">
      <c r="A351" s="34"/>
    </row>
    <row r="352">
      <c r="A352" s="34"/>
    </row>
    <row r="353">
      <c r="A353" s="34"/>
    </row>
    <row r="354">
      <c r="A354" s="34"/>
    </row>
    <row r="355">
      <c r="A355" s="34"/>
    </row>
    <row r="356">
      <c r="A356" s="34"/>
    </row>
    <row r="357">
      <c r="A357" s="34"/>
    </row>
    <row r="358">
      <c r="A358" s="34"/>
    </row>
    <row r="359">
      <c r="A359" s="34"/>
    </row>
    <row r="360">
      <c r="A360" s="34"/>
    </row>
    <row r="361">
      <c r="A361" s="34"/>
    </row>
    <row r="362">
      <c r="A362" s="34"/>
    </row>
    <row r="363">
      <c r="A363" s="34"/>
    </row>
    <row r="364">
      <c r="A364" s="34"/>
    </row>
    <row r="365">
      <c r="A365" s="34"/>
    </row>
    <row r="366">
      <c r="A366" s="34"/>
    </row>
    <row r="367">
      <c r="A367" s="34"/>
    </row>
    <row r="368">
      <c r="A368" s="34"/>
    </row>
    <row r="369">
      <c r="A369" s="34"/>
    </row>
    <row r="370">
      <c r="A370" s="34"/>
    </row>
    <row r="371">
      <c r="A371" s="34"/>
    </row>
    <row r="372">
      <c r="A372" s="34"/>
    </row>
    <row r="373">
      <c r="A373" s="34"/>
    </row>
    <row r="374">
      <c r="A374" s="34"/>
    </row>
    <row r="375">
      <c r="A375" s="34"/>
    </row>
    <row r="376">
      <c r="A376" s="34"/>
    </row>
    <row r="377">
      <c r="A377" s="34"/>
    </row>
    <row r="378">
      <c r="A378" s="34"/>
    </row>
    <row r="379">
      <c r="A379" s="34"/>
    </row>
    <row r="380">
      <c r="A380" s="34"/>
    </row>
    <row r="381">
      <c r="A381" s="34"/>
    </row>
    <row r="382">
      <c r="A382" s="34"/>
    </row>
    <row r="383">
      <c r="A383" s="34"/>
    </row>
    <row r="384">
      <c r="A384" s="34"/>
    </row>
    <row r="385">
      <c r="A385" s="34"/>
    </row>
    <row r="386">
      <c r="A386" s="34"/>
    </row>
    <row r="387">
      <c r="A387" s="34"/>
    </row>
    <row r="388">
      <c r="A388" s="34"/>
    </row>
    <row r="389">
      <c r="A389" s="34"/>
    </row>
    <row r="390">
      <c r="A390" s="34"/>
    </row>
    <row r="391">
      <c r="A391" s="34"/>
    </row>
    <row r="392">
      <c r="A392" s="34"/>
    </row>
    <row r="393">
      <c r="A393" s="34"/>
    </row>
    <row r="394">
      <c r="A394" s="34"/>
    </row>
    <row r="395">
      <c r="A395" s="34"/>
    </row>
    <row r="396">
      <c r="A396" s="34"/>
    </row>
    <row r="397">
      <c r="A397" s="34"/>
    </row>
    <row r="398">
      <c r="A398" s="34"/>
    </row>
    <row r="399">
      <c r="A399" s="34"/>
    </row>
    <row r="400">
      <c r="A400" s="34"/>
    </row>
    <row r="401">
      <c r="A401" s="34"/>
    </row>
    <row r="402">
      <c r="A402" s="34"/>
    </row>
    <row r="403">
      <c r="A403" s="34"/>
    </row>
    <row r="404">
      <c r="A404" s="34"/>
    </row>
    <row r="405">
      <c r="A405" s="34"/>
    </row>
    <row r="406">
      <c r="A406" s="34"/>
    </row>
    <row r="407">
      <c r="A407" s="34"/>
    </row>
    <row r="408">
      <c r="A408" s="34"/>
    </row>
    <row r="409">
      <c r="A409" s="34"/>
    </row>
    <row r="410">
      <c r="A410" s="34"/>
    </row>
    <row r="411">
      <c r="A411" s="34"/>
    </row>
    <row r="412">
      <c r="A412" s="34"/>
    </row>
    <row r="413">
      <c r="A413" s="34"/>
    </row>
    <row r="414">
      <c r="A414" s="34"/>
    </row>
    <row r="415">
      <c r="A415" s="34"/>
    </row>
    <row r="416">
      <c r="A416" s="34"/>
    </row>
    <row r="417">
      <c r="A417" s="34"/>
    </row>
    <row r="418">
      <c r="A418" s="34"/>
    </row>
    <row r="419">
      <c r="A419" s="34"/>
    </row>
    <row r="420">
      <c r="A420" s="34"/>
    </row>
    <row r="421">
      <c r="A421" s="34"/>
    </row>
    <row r="422">
      <c r="A422" s="34"/>
    </row>
    <row r="423">
      <c r="A423" s="34"/>
    </row>
    <row r="424">
      <c r="A424" s="34"/>
    </row>
    <row r="425">
      <c r="A425" s="34"/>
    </row>
    <row r="426">
      <c r="A426" s="34"/>
    </row>
    <row r="427">
      <c r="A427" s="34"/>
    </row>
    <row r="428">
      <c r="A428" s="34"/>
    </row>
    <row r="429">
      <c r="A429" s="34"/>
    </row>
    <row r="430">
      <c r="A430" s="34"/>
    </row>
    <row r="431">
      <c r="A431" s="34"/>
    </row>
    <row r="432">
      <c r="A432" s="34"/>
    </row>
    <row r="433">
      <c r="A433" s="34"/>
    </row>
    <row r="434">
      <c r="A434" s="34"/>
    </row>
    <row r="435">
      <c r="A435" s="34"/>
    </row>
    <row r="436">
      <c r="A436" s="34"/>
    </row>
    <row r="437">
      <c r="A437" s="34"/>
    </row>
    <row r="438">
      <c r="A438" s="34"/>
    </row>
    <row r="439">
      <c r="A439" s="34"/>
    </row>
    <row r="440">
      <c r="A440" s="34"/>
    </row>
    <row r="441">
      <c r="A441" s="34"/>
    </row>
    <row r="442">
      <c r="A442" s="34"/>
    </row>
    <row r="443">
      <c r="A443" s="34"/>
    </row>
    <row r="444">
      <c r="A444" s="34"/>
    </row>
    <row r="445">
      <c r="A445" s="34"/>
    </row>
    <row r="446">
      <c r="A446" s="34"/>
    </row>
    <row r="447">
      <c r="A447" s="34"/>
    </row>
    <row r="448">
      <c r="A448" s="34"/>
    </row>
    <row r="449">
      <c r="A449" s="34"/>
    </row>
    <row r="450">
      <c r="A450" s="34"/>
    </row>
    <row r="451">
      <c r="A451" s="34"/>
    </row>
    <row r="452">
      <c r="A452" s="34"/>
    </row>
    <row r="453">
      <c r="A453" s="34"/>
    </row>
    <row r="454">
      <c r="A454" s="34"/>
    </row>
    <row r="455">
      <c r="A455" s="34"/>
    </row>
    <row r="456">
      <c r="A456" s="34"/>
    </row>
    <row r="457">
      <c r="A457" s="34"/>
    </row>
    <row r="458">
      <c r="A458" s="34"/>
    </row>
    <row r="459">
      <c r="A459" s="34"/>
    </row>
    <row r="460">
      <c r="A460" s="34"/>
    </row>
    <row r="461">
      <c r="A461" s="34"/>
    </row>
    <row r="462">
      <c r="A462" s="34"/>
    </row>
    <row r="463">
      <c r="A463" s="34"/>
    </row>
    <row r="464">
      <c r="A464" s="34"/>
    </row>
    <row r="465">
      <c r="A465" s="34"/>
    </row>
    <row r="466">
      <c r="A466" s="34"/>
    </row>
    <row r="467">
      <c r="A467" s="34"/>
    </row>
    <row r="468">
      <c r="A468" s="34"/>
    </row>
    <row r="469">
      <c r="A469" s="34"/>
    </row>
    <row r="470">
      <c r="A470" s="34"/>
    </row>
    <row r="471">
      <c r="A471" s="34"/>
    </row>
    <row r="472">
      <c r="A472" s="34"/>
    </row>
    <row r="473">
      <c r="A473" s="34"/>
    </row>
    <row r="474">
      <c r="A474" s="34"/>
    </row>
    <row r="475">
      <c r="A475" s="34"/>
    </row>
    <row r="476">
      <c r="A476" s="34"/>
    </row>
    <row r="477">
      <c r="A477" s="34"/>
    </row>
    <row r="478">
      <c r="A478" s="34"/>
    </row>
    <row r="479">
      <c r="A479" s="34"/>
    </row>
    <row r="480">
      <c r="A480" s="34"/>
    </row>
    <row r="481">
      <c r="A481" s="34"/>
    </row>
    <row r="482">
      <c r="A482" s="34"/>
    </row>
    <row r="483">
      <c r="A483" s="34"/>
    </row>
    <row r="484">
      <c r="A484" s="34"/>
    </row>
    <row r="485">
      <c r="A485" s="34"/>
    </row>
    <row r="486">
      <c r="A486" s="34"/>
    </row>
    <row r="487">
      <c r="A487" s="34"/>
    </row>
    <row r="488">
      <c r="A488" s="34"/>
    </row>
    <row r="489">
      <c r="A489" s="34"/>
    </row>
    <row r="490">
      <c r="A490" s="34"/>
    </row>
    <row r="491">
      <c r="A491" s="34"/>
    </row>
    <row r="492">
      <c r="A492" s="34"/>
    </row>
    <row r="493">
      <c r="A493" s="34"/>
    </row>
    <row r="494">
      <c r="A494" s="34"/>
    </row>
    <row r="495">
      <c r="A495" s="34"/>
    </row>
    <row r="496">
      <c r="A496" s="34"/>
    </row>
    <row r="497">
      <c r="A497" s="34"/>
    </row>
    <row r="498">
      <c r="A498" s="34"/>
    </row>
    <row r="499">
      <c r="A499" s="34"/>
    </row>
    <row r="500">
      <c r="A500" s="34"/>
    </row>
    <row r="501">
      <c r="A501" s="34"/>
    </row>
    <row r="502">
      <c r="A502" s="34"/>
    </row>
    <row r="503">
      <c r="A503" s="34"/>
    </row>
    <row r="504">
      <c r="A504" s="34"/>
    </row>
    <row r="505">
      <c r="A505" s="34"/>
    </row>
    <row r="506">
      <c r="A506" s="34"/>
    </row>
    <row r="507">
      <c r="A507" s="34"/>
    </row>
    <row r="508">
      <c r="A508" s="34"/>
    </row>
    <row r="509">
      <c r="A509" s="34"/>
    </row>
    <row r="510">
      <c r="A510" s="34"/>
    </row>
    <row r="511">
      <c r="A511" s="34"/>
    </row>
    <row r="512">
      <c r="A512" s="34"/>
    </row>
    <row r="513">
      <c r="A513" s="34"/>
    </row>
    <row r="514">
      <c r="A514" s="34"/>
    </row>
    <row r="515">
      <c r="A515" s="34"/>
    </row>
    <row r="516">
      <c r="A516" s="34"/>
    </row>
    <row r="517">
      <c r="A517" s="34"/>
    </row>
    <row r="518">
      <c r="A518" s="34"/>
    </row>
    <row r="519">
      <c r="A519" s="34"/>
    </row>
    <row r="520">
      <c r="A520" s="34"/>
    </row>
    <row r="521">
      <c r="A521" s="34"/>
    </row>
    <row r="522">
      <c r="A522" s="34"/>
    </row>
    <row r="523">
      <c r="A523" s="34"/>
    </row>
    <row r="524">
      <c r="A524" s="34"/>
    </row>
    <row r="525">
      <c r="A525" s="34"/>
    </row>
    <row r="526">
      <c r="A526" s="34"/>
    </row>
    <row r="527">
      <c r="A527" s="34"/>
    </row>
    <row r="528">
      <c r="A528" s="34"/>
    </row>
    <row r="529">
      <c r="A529" s="34"/>
    </row>
    <row r="530">
      <c r="A530" s="34"/>
    </row>
    <row r="531">
      <c r="A531" s="34"/>
    </row>
    <row r="532">
      <c r="A532" s="34"/>
    </row>
    <row r="533">
      <c r="A533" s="34"/>
    </row>
    <row r="534">
      <c r="A534" s="34"/>
    </row>
    <row r="535">
      <c r="A535" s="34"/>
    </row>
    <row r="536">
      <c r="A536" s="34"/>
    </row>
    <row r="537">
      <c r="A537" s="34"/>
    </row>
    <row r="538">
      <c r="A538" s="34"/>
    </row>
    <row r="539">
      <c r="A539" s="34"/>
    </row>
    <row r="540">
      <c r="A540" s="34"/>
    </row>
    <row r="541">
      <c r="A541" s="34"/>
    </row>
    <row r="542">
      <c r="A542" s="34"/>
    </row>
    <row r="543">
      <c r="A543" s="34"/>
    </row>
    <row r="544">
      <c r="A544" s="34"/>
    </row>
    <row r="545">
      <c r="A545" s="34"/>
    </row>
    <row r="546">
      <c r="A546" s="34"/>
    </row>
    <row r="547">
      <c r="A547" s="34"/>
    </row>
    <row r="548">
      <c r="A548" s="34"/>
    </row>
    <row r="549">
      <c r="A549" s="34"/>
    </row>
    <row r="550">
      <c r="A550" s="34"/>
    </row>
    <row r="551">
      <c r="A551" s="34"/>
    </row>
    <row r="552">
      <c r="A552" s="34"/>
    </row>
    <row r="553">
      <c r="A553" s="34"/>
    </row>
    <row r="554">
      <c r="A554" s="34"/>
    </row>
    <row r="555">
      <c r="A555" s="34"/>
    </row>
    <row r="556">
      <c r="A556" s="34"/>
    </row>
    <row r="557">
      <c r="A557" s="34"/>
    </row>
    <row r="558">
      <c r="A558" s="34"/>
    </row>
    <row r="559">
      <c r="A559" s="34"/>
    </row>
    <row r="560">
      <c r="A560" s="34"/>
    </row>
    <row r="561">
      <c r="A561" s="34"/>
    </row>
    <row r="562">
      <c r="A562" s="34"/>
    </row>
    <row r="563">
      <c r="A563" s="34"/>
    </row>
    <row r="564">
      <c r="A564" s="34"/>
    </row>
    <row r="565">
      <c r="A565" s="34"/>
    </row>
    <row r="566">
      <c r="A566" s="34"/>
    </row>
    <row r="567">
      <c r="A567" s="34"/>
    </row>
    <row r="568">
      <c r="A568" s="34"/>
    </row>
    <row r="569">
      <c r="A569" s="34"/>
    </row>
    <row r="570">
      <c r="A570" s="34"/>
    </row>
    <row r="571">
      <c r="A571" s="34"/>
    </row>
    <row r="572">
      <c r="A572" s="34"/>
    </row>
    <row r="573">
      <c r="A573" s="34"/>
    </row>
    <row r="574">
      <c r="A574" s="34"/>
    </row>
    <row r="575">
      <c r="A575" s="34"/>
    </row>
    <row r="576">
      <c r="A576" s="34"/>
    </row>
    <row r="577">
      <c r="A577" s="34"/>
    </row>
    <row r="578">
      <c r="A578" s="34"/>
    </row>
    <row r="579">
      <c r="A579" s="34"/>
    </row>
    <row r="580">
      <c r="A580" s="34"/>
    </row>
    <row r="581">
      <c r="A581" s="34"/>
    </row>
    <row r="582">
      <c r="A582" s="34"/>
    </row>
    <row r="583">
      <c r="A583" s="34"/>
    </row>
    <row r="584">
      <c r="A584" s="34"/>
    </row>
    <row r="585">
      <c r="A585" s="34"/>
    </row>
    <row r="586">
      <c r="A586" s="34"/>
    </row>
    <row r="587">
      <c r="A587" s="34"/>
    </row>
    <row r="588">
      <c r="A588" s="34"/>
    </row>
    <row r="589">
      <c r="A589" s="34"/>
    </row>
    <row r="590">
      <c r="A590" s="34"/>
    </row>
    <row r="591">
      <c r="A591" s="34"/>
    </row>
    <row r="592">
      <c r="A592" s="34"/>
    </row>
    <row r="593">
      <c r="A593" s="34"/>
    </row>
    <row r="594">
      <c r="A594" s="34"/>
    </row>
    <row r="595">
      <c r="A595" s="34"/>
    </row>
    <row r="596">
      <c r="A596" s="34"/>
    </row>
    <row r="597">
      <c r="A597" s="34"/>
    </row>
    <row r="598">
      <c r="A598" s="34"/>
    </row>
    <row r="599">
      <c r="A599" s="34"/>
    </row>
    <row r="600">
      <c r="A600" s="34"/>
    </row>
    <row r="601">
      <c r="A601" s="34"/>
    </row>
    <row r="602">
      <c r="A602" s="34"/>
    </row>
    <row r="603">
      <c r="A603" s="34"/>
    </row>
    <row r="604">
      <c r="A604" s="34"/>
    </row>
    <row r="605">
      <c r="A605" s="34"/>
    </row>
    <row r="606">
      <c r="A606" s="34"/>
    </row>
    <row r="607">
      <c r="A607" s="34"/>
    </row>
    <row r="608">
      <c r="A608" s="34"/>
    </row>
    <row r="609">
      <c r="A609" s="34"/>
    </row>
    <row r="610">
      <c r="A610" s="34"/>
    </row>
    <row r="611">
      <c r="A611" s="34"/>
    </row>
    <row r="612">
      <c r="A612" s="34"/>
    </row>
    <row r="613">
      <c r="A613" s="34"/>
    </row>
    <row r="614">
      <c r="A614" s="34"/>
    </row>
    <row r="615">
      <c r="A615" s="34"/>
    </row>
    <row r="616">
      <c r="A616" s="34"/>
    </row>
    <row r="617">
      <c r="A617" s="34"/>
    </row>
    <row r="618">
      <c r="A618" s="34"/>
    </row>
    <row r="619">
      <c r="A619" s="34"/>
    </row>
    <row r="620">
      <c r="A620" s="34"/>
    </row>
    <row r="621">
      <c r="A621" s="34"/>
    </row>
    <row r="622">
      <c r="A622" s="34"/>
    </row>
    <row r="623">
      <c r="A623" s="34"/>
    </row>
    <row r="624">
      <c r="A624" s="34"/>
    </row>
    <row r="625">
      <c r="A625" s="34"/>
    </row>
    <row r="626">
      <c r="A626" s="34"/>
    </row>
    <row r="627">
      <c r="A627" s="34"/>
    </row>
    <row r="628">
      <c r="A628" s="34"/>
    </row>
    <row r="629">
      <c r="A629" s="34"/>
    </row>
    <row r="630">
      <c r="A630" s="34"/>
    </row>
    <row r="631">
      <c r="A631" s="34"/>
    </row>
    <row r="632">
      <c r="A632" s="34"/>
    </row>
    <row r="633">
      <c r="A633" s="34"/>
    </row>
    <row r="634">
      <c r="A634" s="34"/>
    </row>
    <row r="635">
      <c r="A635" s="34"/>
    </row>
    <row r="636">
      <c r="A636" s="34"/>
    </row>
    <row r="637">
      <c r="A637" s="34"/>
    </row>
    <row r="638">
      <c r="A638" s="34"/>
    </row>
    <row r="639">
      <c r="A639" s="34"/>
    </row>
    <row r="640">
      <c r="A640" s="34"/>
    </row>
    <row r="641">
      <c r="A641" s="34"/>
    </row>
    <row r="642">
      <c r="A642" s="34"/>
    </row>
    <row r="643">
      <c r="A643" s="34"/>
    </row>
    <row r="644">
      <c r="A644" s="34"/>
    </row>
    <row r="645">
      <c r="A645" s="34"/>
    </row>
    <row r="646">
      <c r="A646" s="34"/>
    </row>
    <row r="647">
      <c r="A647" s="34"/>
    </row>
    <row r="648">
      <c r="A648" s="34"/>
    </row>
    <row r="649">
      <c r="A649" s="34"/>
    </row>
    <row r="650">
      <c r="A650" s="34"/>
    </row>
    <row r="651">
      <c r="A651" s="34"/>
    </row>
    <row r="652">
      <c r="A652" s="34"/>
    </row>
    <row r="653">
      <c r="A653" s="34"/>
    </row>
    <row r="654">
      <c r="A654" s="34"/>
    </row>
    <row r="655">
      <c r="A655" s="34"/>
    </row>
    <row r="656">
      <c r="A656" s="34"/>
    </row>
    <row r="657">
      <c r="A657" s="34"/>
    </row>
    <row r="658">
      <c r="A658" s="34"/>
    </row>
    <row r="659">
      <c r="A659" s="34"/>
    </row>
    <row r="660">
      <c r="A660" s="34"/>
    </row>
    <row r="661">
      <c r="A661" s="34"/>
    </row>
    <row r="662">
      <c r="A662" s="34"/>
    </row>
    <row r="663">
      <c r="A663" s="34"/>
    </row>
    <row r="664">
      <c r="A664" s="34"/>
    </row>
    <row r="665">
      <c r="A665" s="34"/>
    </row>
    <row r="666">
      <c r="A666" s="34"/>
    </row>
    <row r="667">
      <c r="A667" s="34"/>
    </row>
    <row r="668">
      <c r="A668" s="34"/>
    </row>
    <row r="669">
      <c r="A669" s="34"/>
    </row>
    <row r="670">
      <c r="A670" s="34"/>
    </row>
    <row r="671">
      <c r="A671" s="34"/>
    </row>
    <row r="672">
      <c r="A672" s="34"/>
    </row>
    <row r="673">
      <c r="A673" s="34"/>
    </row>
    <row r="674">
      <c r="A674" s="34"/>
    </row>
    <row r="675">
      <c r="A675" s="34"/>
    </row>
    <row r="676">
      <c r="A676" s="34"/>
    </row>
    <row r="677">
      <c r="A677" s="34"/>
    </row>
    <row r="678">
      <c r="A678" s="34"/>
    </row>
    <row r="679">
      <c r="A679" s="34"/>
    </row>
    <row r="680">
      <c r="A680" s="34"/>
    </row>
    <row r="681">
      <c r="A681" s="34"/>
    </row>
    <row r="682">
      <c r="A682" s="34"/>
    </row>
    <row r="683">
      <c r="A683" s="34"/>
    </row>
    <row r="684">
      <c r="A684" s="34"/>
    </row>
    <row r="685">
      <c r="A685" s="34"/>
    </row>
    <row r="686">
      <c r="A686" s="34"/>
    </row>
    <row r="687">
      <c r="A687" s="34"/>
    </row>
    <row r="688">
      <c r="A688" s="34"/>
    </row>
    <row r="689">
      <c r="A689" s="34"/>
    </row>
    <row r="690">
      <c r="A690" s="34"/>
    </row>
    <row r="691">
      <c r="A691" s="34"/>
    </row>
    <row r="692">
      <c r="A692" s="34"/>
    </row>
    <row r="693">
      <c r="A693" s="34"/>
    </row>
    <row r="694">
      <c r="A694" s="34"/>
    </row>
    <row r="695">
      <c r="A695" s="34"/>
    </row>
    <row r="696">
      <c r="A696" s="34"/>
    </row>
    <row r="697">
      <c r="A697" s="34"/>
    </row>
    <row r="698">
      <c r="A698" s="34"/>
    </row>
    <row r="699">
      <c r="A699" s="34"/>
    </row>
    <row r="700">
      <c r="A700" s="34"/>
    </row>
    <row r="701">
      <c r="A701" s="34"/>
    </row>
    <row r="702">
      <c r="A702" s="34"/>
    </row>
    <row r="703">
      <c r="A703" s="34"/>
    </row>
    <row r="704">
      <c r="A704" s="34"/>
    </row>
    <row r="705">
      <c r="A705" s="34"/>
    </row>
    <row r="706">
      <c r="A706" s="34"/>
    </row>
    <row r="707">
      <c r="A707" s="34"/>
    </row>
    <row r="708">
      <c r="A708" s="34"/>
    </row>
    <row r="709">
      <c r="A709" s="34"/>
    </row>
    <row r="710">
      <c r="A710" s="34"/>
    </row>
    <row r="711">
      <c r="A711" s="34"/>
    </row>
    <row r="712">
      <c r="A712" s="34"/>
    </row>
    <row r="713">
      <c r="A713" s="34"/>
    </row>
    <row r="714">
      <c r="A714" s="34"/>
    </row>
    <row r="715">
      <c r="A715" s="34"/>
    </row>
    <row r="716">
      <c r="A716" s="34"/>
    </row>
    <row r="717">
      <c r="A717" s="34"/>
    </row>
    <row r="718">
      <c r="A718" s="34"/>
    </row>
    <row r="719">
      <c r="A719" s="34"/>
    </row>
    <row r="720">
      <c r="A720" s="34"/>
    </row>
    <row r="721">
      <c r="A721" s="34"/>
    </row>
    <row r="722">
      <c r="A722" s="34"/>
    </row>
    <row r="723">
      <c r="A723" s="34"/>
    </row>
    <row r="724">
      <c r="A724" s="34"/>
    </row>
    <row r="725">
      <c r="A725" s="34"/>
    </row>
    <row r="726">
      <c r="A726" s="34"/>
    </row>
    <row r="727">
      <c r="A727" s="34"/>
    </row>
    <row r="728">
      <c r="A728" s="34"/>
    </row>
    <row r="729">
      <c r="A729" s="34"/>
    </row>
    <row r="730">
      <c r="A730" s="34"/>
    </row>
    <row r="731">
      <c r="A731" s="34"/>
    </row>
    <row r="732">
      <c r="A732" s="34"/>
    </row>
    <row r="733">
      <c r="A733" s="34"/>
    </row>
    <row r="734">
      <c r="A734" s="34"/>
    </row>
    <row r="735">
      <c r="A735" s="34"/>
    </row>
    <row r="736">
      <c r="A736" s="34"/>
    </row>
    <row r="737">
      <c r="A737" s="34"/>
    </row>
    <row r="738">
      <c r="A738" s="34"/>
    </row>
    <row r="739">
      <c r="A739" s="34"/>
    </row>
    <row r="740">
      <c r="A740" s="34"/>
    </row>
    <row r="741">
      <c r="A741" s="34"/>
    </row>
    <row r="742">
      <c r="A742" s="34"/>
    </row>
    <row r="743">
      <c r="A743" s="34"/>
    </row>
    <row r="744">
      <c r="A744" s="34"/>
    </row>
    <row r="745">
      <c r="A745" s="34"/>
    </row>
    <row r="746">
      <c r="A746" s="34"/>
    </row>
    <row r="747">
      <c r="A747" s="34"/>
    </row>
    <row r="748">
      <c r="A748" s="34"/>
    </row>
    <row r="749">
      <c r="A749" s="34"/>
    </row>
    <row r="750">
      <c r="A750" s="34"/>
    </row>
    <row r="751">
      <c r="A751" s="34"/>
    </row>
    <row r="752">
      <c r="A752" s="34"/>
    </row>
    <row r="753">
      <c r="A753" s="34"/>
    </row>
    <row r="754">
      <c r="A754" s="34"/>
    </row>
    <row r="755">
      <c r="A755" s="34"/>
    </row>
    <row r="756">
      <c r="A756" s="34"/>
    </row>
    <row r="757">
      <c r="A757" s="34"/>
    </row>
    <row r="758">
      <c r="A758" s="34"/>
    </row>
    <row r="759">
      <c r="A759" s="34"/>
    </row>
    <row r="760">
      <c r="A760" s="34"/>
    </row>
    <row r="761">
      <c r="A761" s="34"/>
    </row>
    <row r="762">
      <c r="A762" s="34"/>
    </row>
    <row r="763">
      <c r="A763" s="34"/>
    </row>
    <row r="764">
      <c r="A764" s="34"/>
    </row>
    <row r="765">
      <c r="A765" s="34"/>
    </row>
    <row r="766">
      <c r="A766" s="34"/>
    </row>
    <row r="767">
      <c r="A767" s="34"/>
    </row>
    <row r="768">
      <c r="A768" s="34"/>
    </row>
    <row r="769">
      <c r="A769" s="34"/>
    </row>
    <row r="770">
      <c r="A770" s="34"/>
    </row>
    <row r="771">
      <c r="A771" s="34"/>
    </row>
    <row r="772">
      <c r="A772" s="34"/>
    </row>
    <row r="773">
      <c r="A773" s="34"/>
    </row>
    <row r="774">
      <c r="A774" s="34"/>
    </row>
    <row r="775">
      <c r="A775" s="34"/>
    </row>
    <row r="776">
      <c r="A776" s="34"/>
    </row>
    <row r="777">
      <c r="A777" s="34"/>
    </row>
    <row r="778">
      <c r="A778" s="34"/>
    </row>
    <row r="779">
      <c r="A779" s="34"/>
    </row>
    <row r="780">
      <c r="A780" s="34"/>
    </row>
    <row r="781">
      <c r="A781" s="34"/>
    </row>
    <row r="782">
      <c r="A782" s="34"/>
    </row>
    <row r="783">
      <c r="A783" s="34"/>
    </row>
    <row r="784">
      <c r="A784" s="34"/>
    </row>
    <row r="785">
      <c r="A785" s="34"/>
    </row>
    <row r="786">
      <c r="A786" s="34"/>
    </row>
    <row r="787">
      <c r="A787" s="34"/>
    </row>
    <row r="788">
      <c r="A788" s="34"/>
    </row>
    <row r="789">
      <c r="A789" s="34"/>
    </row>
    <row r="790">
      <c r="A790" s="34"/>
    </row>
    <row r="791">
      <c r="A791" s="34"/>
    </row>
    <row r="792">
      <c r="A792" s="34"/>
    </row>
    <row r="793">
      <c r="A793" s="34"/>
    </row>
    <row r="794">
      <c r="A794" s="34"/>
    </row>
    <row r="795">
      <c r="A795" s="34"/>
    </row>
    <row r="796">
      <c r="A796" s="34"/>
    </row>
    <row r="797">
      <c r="A797" s="34"/>
    </row>
    <row r="798">
      <c r="A798" s="34"/>
    </row>
    <row r="799">
      <c r="A799" s="34"/>
    </row>
    <row r="800">
      <c r="A800" s="34"/>
    </row>
    <row r="801">
      <c r="A801" s="34"/>
    </row>
    <row r="802">
      <c r="A802" s="34"/>
    </row>
    <row r="803">
      <c r="A803" s="34"/>
    </row>
    <row r="804">
      <c r="A804" s="34"/>
    </row>
    <row r="805">
      <c r="A805" s="34"/>
    </row>
    <row r="806">
      <c r="A806" s="34"/>
    </row>
    <row r="807">
      <c r="A807" s="34"/>
    </row>
    <row r="808">
      <c r="A808" s="34"/>
    </row>
    <row r="809">
      <c r="A809" s="34"/>
    </row>
    <row r="810">
      <c r="A810" s="34"/>
    </row>
    <row r="811">
      <c r="A811" s="34"/>
    </row>
    <row r="812">
      <c r="A812" s="34"/>
    </row>
    <row r="813">
      <c r="A813" s="34"/>
    </row>
    <row r="814">
      <c r="A814" s="34"/>
    </row>
    <row r="815">
      <c r="A815" s="34"/>
    </row>
    <row r="816">
      <c r="A816" s="34"/>
    </row>
    <row r="817">
      <c r="A817" s="34"/>
    </row>
    <row r="818">
      <c r="A818" s="34"/>
    </row>
    <row r="819">
      <c r="A819" s="34"/>
    </row>
    <row r="820">
      <c r="A820" s="34"/>
    </row>
    <row r="821">
      <c r="A821" s="34"/>
    </row>
    <row r="822">
      <c r="A822" s="34"/>
    </row>
    <row r="823">
      <c r="A823" s="34"/>
    </row>
    <row r="824">
      <c r="A824" s="34"/>
    </row>
    <row r="825">
      <c r="A825" s="34"/>
    </row>
    <row r="826">
      <c r="A826" s="34"/>
    </row>
    <row r="827">
      <c r="A827" s="34"/>
    </row>
    <row r="828">
      <c r="A828" s="34"/>
    </row>
    <row r="829">
      <c r="A829" s="34"/>
    </row>
    <row r="830">
      <c r="A830" s="34"/>
    </row>
    <row r="831">
      <c r="A831" s="34"/>
    </row>
    <row r="832">
      <c r="A832" s="34"/>
    </row>
    <row r="833">
      <c r="A833" s="34"/>
    </row>
    <row r="834">
      <c r="A834" s="34"/>
    </row>
    <row r="835">
      <c r="A835" s="34"/>
    </row>
    <row r="836">
      <c r="A836" s="34"/>
    </row>
    <row r="837">
      <c r="A837" s="34"/>
    </row>
    <row r="838">
      <c r="A838" s="34"/>
    </row>
    <row r="839">
      <c r="A839" s="34"/>
    </row>
    <row r="840">
      <c r="A840" s="34"/>
    </row>
    <row r="841">
      <c r="A841" s="34"/>
    </row>
    <row r="842">
      <c r="A842" s="34"/>
    </row>
    <row r="843">
      <c r="A843" s="34"/>
    </row>
    <row r="844">
      <c r="A844" s="34"/>
    </row>
    <row r="845">
      <c r="A845" s="34"/>
    </row>
    <row r="846">
      <c r="A846" s="34"/>
    </row>
    <row r="847">
      <c r="A847" s="34"/>
    </row>
    <row r="848">
      <c r="A848" s="34"/>
    </row>
    <row r="849">
      <c r="A849" s="34"/>
    </row>
    <row r="850">
      <c r="A850" s="34"/>
    </row>
    <row r="851">
      <c r="A851" s="34"/>
    </row>
    <row r="852">
      <c r="A852" s="34"/>
    </row>
    <row r="853">
      <c r="A853" s="34"/>
    </row>
    <row r="854">
      <c r="A854" s="34"/>
    </row>
    <row r="855">
      <c r="A855" s="34"/>
    </row>
    <row r="856">
      <c r="A856" s="34"/>
    </row>
    <row r="857">
      <c r="A857" s="34"/>
    </row>
    <row r="858">
      <c r="A858" s="34"/>
    </row>
    <row r="859">
      <c r="A859" s="34"/>
    </row>
    <row r="860">
      <c r="A860" s="34"/>
    </row>
    <row r="861">
      <c r="A861" s="34"/>
    </row>
    <row r="862">
      <c r="A862" s="34"/>
    </row>
    <row r="863">
      <c r="A863" s="34"/>
    </row>
    <row r="864">
      <c r="A864" s="34"/>
    </row>
    <row r="865">
      <c r="A865" s="34"/>
    </row>
    <row r="866">
      <c r="A866" s="34"/>
    </row>
    <row r="867">
      <c r="A867" s="34"/>
    </row>
    <row r="868">
      <c r="A868" s="34"/>
    </row>
    <row r="869">
      <c r="A869" s="34"/>
    </row>
    <row r="870">
      <c r="A870" s="34"/>
    </row>
    <row r="871">
      <c r="A871" s="34"/>
    </row>
    <row r="872">
      <c r="A872" s="34"/>
    </row>
    <row r="873">
      <c r="A873" s="34"/>
    </row>
    <row r="874">
      <c r="A874" s="34"/>
    </row>
    <row r="875">
      <c r="A875" s="34"/>
    </row>
    <row r="876">
      <c r="A876" s="34"/>
    </row>
    <row r="877">
      <c r="A877" s="34"/>
    </row>
    <row r="878">
      <c r="A878" s="34"/>
    </row>
    <row r="879">
      <c r="A879" s="34"/>
    </row>
    <row r="880">
      <c r="A880" s="34"/>
    </row>
    <row r="881">
      <c r="A881" s="34"/>
    </row>
    <row r="882">
      <c r="A882" s="34"/>
    </row>
    <row r="883">
      <c r="A883" s="34"/>
    </row>
    <row r="884">
      <c r="A884" s="34"/>
    </row>
    <row r="885">
      <c r="A885" s="34"/>
    </row>
    <row r="886">
      <c r="A886" s="34"/>
    </row>
    <row r="887">
      <c r="A887" s="34"/>
    </row>
    <row r="888">
      <c r="A888" s="34"/>
    </row>
    <row r="889">
      <c r="A889" s="34"/>
    </row>
    <row r="890">
      <c r="A890" s="34"/>
    </row>
    <row r="891">
      <c r="A891" s="34"/>
    </row>
    <row r="892">
      <c r="A892" s="34"/>
    </row>
    <row r="893">
      <c r="A893" s="34"/>
    </row>
    <row r="894">
      <c r="A894" s="34"/>
    </row>
    <row r="895">
      <c r="A895" s="34"/>
    </row>
    <row r="896">
      <c r="A896" s="34"/>
    </row>
    <row r="897">
      <c r="A897" s="34"/>
    </row>
    <row r="898">
      <c r="A898" s="34"/>
    </row>
    <row r="899">
      <c r="A899" s="34"/>
    </row>
    <row r="900">
      <c r="A900" s="34"/>
    </row>
    <row r="901">
      <c r="A901" s="34"/>
    </row>
    <row r="902">
      <c r="A902" s="34"/>
    </row>
    <row r="903">
      <c r="A903" s="34"/>
    </row>
    <row r="904">
      <c r="A904" s="34"/>
    </row>
    <row r="905">
      <c r="A905" s="34"/>
    </row>
    <row r="906">
      <c r="A906" s="34"/>
    </row>
    <row r="907">
      <c r="A907" s="34"/>
    </row>
    <row r="908">
      <c r="A908" s="34"/>
    </row>
    <row r="909">
      <c r="A909" s="34"/>
    </row>
    <row r="910">
      <c r="A910" s="34"/>
    </row>
    <row r="911">
      <c r="A911" s="34"/>
    </row>
    <row r="912">
      <c r="A912" s="34"/>
    </row>
    <row r="913">
      <c r="A913" s="34"/>
    </row>
    <row r="914">
      <c r="A914" s="34"/>
    </row>
    <row r="915">
      <c r="A915" s="34"/>
    </row>
    <row r="916">
      <c r="A916" s="34"/>
    </row>
    <row r="917">
      <c r="A917" s="34"/>
    </row>
    <row r="918">
      <c r="A918" s="34"/>
    </row>
    <row r="919">
      <c r="A919" s="34"/>
    </row>
    <row r="920">
      <c r="A920" s="34"/>
    </row>
    <row r="921">
      <c r="A921" s="34"/>
    </row>
    <row r="922">
      <c r="A922" s="34"/>
    </row>
    <row r="923">
      <c r="A923" s="34"/>
    </row>
    <row r="924">
      <c r="A924" s="34"/>
    </row>
    <row r="925">
      <c r="A925" s="34"/>
    </row>
    <row r="926">
      <c r="A926" s="34"/>
    </row>
    <row r="927">
      <c r="A927" s="34"/>
    </row>
    <row r="928">
      <c r="A928" s="34"/>
    </row>
    <row r="929">
      <c r="A929" s="34"/>
    </row>
    <row r="930">
      <c r="A930" s="34"/>
    </row>
    <row r="931">
      <c r="A931" s="34"/>
    </row>
    <row r="932">
      <c r="A932" s="34"/>
    </row>
    <row r="933">
      <c r="A933" s="34"/>
    </row>
    <row r="934">
      <c r="A934" s="34"/>
    </row>
    <row r="935">
      <c r="A935" s="34"/>
    </row>
    <row r="936">
      <c r="A936" s="34"/>
    </row>
    <row r="937">
      <c r="A937" s="34"/>
    </row>
    <row r="938">
      <c r="A938" s="34"/>
    </row>
    <row r="939">
      <c r="A939" s="34"/>
    </row>
    <row r="940">
      <c r="A940" s="34"/>
    </row>
    <row r="941">
      <c r="A941" s="34"/>
    </row>
    <row r="942">
      <c r="A942" s="34"/>
    </row>
    <row r="943">
      <c r="A943" s="34"/>
    </row>
    <row r="944">
      <c r="A944" s="34"/>
    </row>
    <row r="945">
      <c r="A945" s="34"/>
    </row>
    <row r="946">
      <c r="A946" s="34"/>
    </row>
    <row r="947">
      <c r="A947" s="34"/>
    </row>
    <row r="948">
      <c r="A948" s="34"/>
    </row>
    <row r="949">
      <c r="A949" s="34"/>
    </row>
    <row r="950">
      <c r="A950" s="34"/>
    </row>
    <row r="951">
      <c r="A951" s="34"/>
    </row>
    <row r="952">
      <c r="A952" s="34"/>
    </row>
    <row r="953">
      <c r="A953" s="34"/>
    </row>
    <row r="954">
      <c r="A954" s="34"/>
    </row>
    <row r="955">
      <c r="A955" s="34"/>
    </row>
    <row r="956">
      <c r="A956" s="34"/>
    </row>
    <row r="957">
      <c r="A957" s="34"/>
    </row>
    <row r="958">
      <c r="A958" s="34"/>
    </row>
    <row r="959">
      <c r="A959" s="34"/>
    </row>
    <row r="960">
      <c r="A960" s="34"/>
    </row>
    <row r="961">
      <c r="A961" s="34"/>
    </row>
    <row r="962">
      <c r="A962" s="34"/>
    </row>
    <row r="963">
      <c r="A963" s="34"/>
    </row>
    <row r="964">
      <c r="A964" s="34"/>
    </row>
    <row r="965">
      <c r="A965" s="34"/>
    </row>
    <row r="966">
      <c r="A966" s="34"/>
    </row>
    <row r="967">
      <c r="A967" s="34"/>
    </row>
    <row r="968">
      <c r="A968" s="34"/>
    </row>
    <row r="969">
      <c r="A969" s="34"/>
    </row>
    <row r="970">
      <c r="A970" s="34"/>
    </row>
    <row r="971">
      <c r="A971" s="34"/>
    </row>
    <row r="972">
      <c r="A972" s="34"/>
    </row>
    <row r="973">
      <c r="A973" s="34"/>
    </row>
    <row r="974">
      <c r="A974" s="34"/>
    </row>
    <row r="975">
      <c r="A975" s="34"/>
    </row>
    <row r="976">
      <c r="A976" s="34"/>
    </row>
    <row r="977">
      <c r="A977" s="34"/>
    </row>
    <row r="978">
      <c r="A978" s="34"/>
    </row>
    <row r="979">
      <c r="A979" s="34"/>
    </row>
    <row r="980">
      <c r="A980" s="34"/>
    </row>
    <row r="981">
      <c r="A981" s="34"/>
    </row>
    <row r="982">
      <c r="A982" s="34"/>
    </row>
    <row r="983">
      <c r="A983" s="34"/>
    </row>
    <row r="984">
      <c r="A984" s="34"/>
    </row>
    <row r="985">
      <c r="A985" s="34"/>
    </row>
    <row r="986">
      <c r="A986" s="34"/>
    </row>
    <row r="987">
      <c r="A987" s="34"/>
    </row>
    <row r="988">
      <c r="A988" s="34"/>
    </row>
    <row r="989">
      <c r="A989" s="34"/>
    </row>
    <row r="990">
      <c r="A990" s="34"/>
    </row>
    <row r="991">
      <c r="A991" s="34"/>
    </row>
    <row r="992">
      <c r="A992" s="34"/>
    </row>
    <row r="993">
      <c r="A993" s="34"/>
    </row>
    <row r="994">
      <c r="A994" s="34"/>
    </row>
    <row r="995">
      <c r="A995" s="34"/>
    </row>
    <row r="996">
      <c r="A996" s="34"/>
    </row>
    <row r="997">
      <c r="A997" s="34"/>
    </row>
    <row r="998">
      <c r="A998" s="34"/>
    </row>
    <row r="999">
      <c r="A999" s="34"/>
    </row>
  </sheetData>
  <mergeCells count="4">
    <mergeCell ref="B1:F1"/>
    <mergeCell ref="H1:L1"/>
    <mergeCell ref="B2:F2"/>
    <mergeCell ref="H2:L2"/>
  </mergeCells>
  <hyperlinks>
    <hyperlink r:id="rId1" ref="O2"/>
    <hyperlink r:id="rId2" ref="O3"/>
    <hyperlink r:id="rId3" ref="O6"/>
  </hyperlin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3.13"/>
    <col customWidth="1" min="13" max="13" width="52.5"/>
  </cols>
  <sheetData>
    <row r="1">
      <c r="A1" s="35" t="s">
        <v>42</v>
      </c>
      <c r="C1" s="6"/>
      <c r="D1" s="36"/>
      <c r="E1" s="35" t="s">
        <v>42</v>
      </c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</row>
    <row r="2">
      <c r="A2" s="22" t="s">
        <v>43</v>
      </c>
      <c r="D2" s="36"/>
      <c r="E2" s="37" t="s">
        <v>44</v>
      </c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>
      <c r="A3" s="38" t="s">
        <v>45</v>
      </c>
      <c r="B3" s="39" t="s">
        <v>46</v>
      </c>
      <c r="C3" s="6"/>
      <c r="D3" s="36"/>
      <c r="E3" s="40" t="s">
        <v>45</v>
      </c>
      <c r="F3" s="41" t="s">
        <v>46</v>
      </c>
      <c r="G3" s="36"/>
      <c r="H3" s="40" t="s">
        <v>45</v>
      </c>
      <c r="I3" s="41" t="s">
        <v>46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>
      <c r="A4" s="6" t="s">
        <v>47</v>
      </c>
      <c r="B4" s="42">
        <v>3893.4</v>
      </c>
      <c r="C4" s="6"/>
      <c r="D4" s="36"/>
      <c r="E4" s="43" t="s">
        <v>48</v>
      </c>
      <c r="F4" s="44">
        <v>122.15</v>
      </c>
      <c r="G4" s="36"/>
      <c r="H4" s="43" t="s">
        <v>49</v>
      </c>
      <c r="I4" s="45">
        <v>3269.8</v>
      </c>
      <c r="J4" s="6"/>
      <c r="K4" s="6"/>
      <c r="L4" s="4" t="s">
        <v>50</v>
      </c>
      <c r="M4" s="4" t="s">
        <v>51</v>
      </c>
      <c r="N4" s="6"/>
      <c r="O4" s="6"/>
      <c r="P4" s="6"/>
      <c r="Q4" s="6"/>
      <c r="R4" s="6"/>
      <c r="S4" s="6"/>
      <c r="T4" s="6"/>
      <c r="U4" s="6"/>
      <c r="V4" s="6"/>
    </row>
    <row r="5">
      <c r="A5" s="6" t="s">
        <v>52</v>
      </c>
      <c r="B5" s="42">
        <v>2968.6</v>
      </c>
      <c r="C5" s="6"/>
      <c r="D5" s="36"/>
      <c r="E5" s="43" t="s">
        <v>53</v>
      </c>
      <c r="F5" s="44">
        <v>81.7</v>
      </c>
      <c r="G5" s="36"/>
      <c r="H5" s="43" t="s">
        <v>54</v>
      </c>
      <c r="I5" s="45">
        <v>132.65</v>
      </c>
      <c r="J5" s="6"/>
      <c r="K5" s="6"/>
      <c r="L5" s="4" t="s">
        <v>55</v>
      </c>
      <c r="M5" s="46" t="s">
        <v>56</v>
      </c>
      <c r="N5" s="6"/>
      <c r="O5" s="6"/>
      <c r="P5" s="6"/>
      <c r="Q5" s="6"/>
      <c r="R5" s="6"/>
      <c r="S5" s="6"/>
      <c r="T5" s="6"/>
      <c r="U5" s="6"/>
      <c r="V5" s="6"/>
    </row>
    <row r="6">
      <c r="A6" s="6" t="s">
        <v>57</v>
      </c>
      <c r="B6" s="42">
        <v>1876.15</v>
      </c>
      <c r="C6" s="6"/>
      <c r="D6" s="36"/>
      <c r="E6" s="43" t="s">
        <v>58</v>
      </c>
      <c r="F6" s="44">
        <v>1154.5</v>
      </c>
      <c r="G6" s="36"/>
      <c r="H6" s="43" t="s">
        <v>59</v>
      </c>
      <c r="I6" s="45">
        <v>187.45</v>
      </c>
      <c r="J6" s="6"/>
      <c r="K6" s="6"/>
      <c r="L6" s="4" t="s">
        <v>60</v>
      </c>
      <c r="M6" s="46" t="s">
        <v>61</v>
      </c>
      <c r="N6" s="6"/>
      <c r="O6" s="6"/>
      <c r="P6" s="6"/>
      <c r="Q6" s="6"/>
      <c r="R6" s="6"/>
      <c r="S6" s="6"/>
      <c r="T6" s="6"/>
      <c r="U6" s="6"/>
      <c r="V6" s="6"/>
    </row>
    <row r="7">
      <c r="A7" s="6" t="s">
        <v>21</v>
      </c>
      <c r="B7" s="42">
        <v>1132.25</v>
      </c>
      <c r="C7" s="6"/>
      <c r="D7" s="36"/>
      <c r="E7" s="43" t="s">
        <v>62</v>
      </c>
      <c r="F7" s="44">
        <v>9915.95</v>
      </c>
      <c r="G7" s="36"/>
      <c r="H7" s="43" t="s">
        <v>63</v>
      </c>
      <c r="I7" s="45">
        <v>2903.25</v>
      </c>
      <c r="J7" s="6"/>
      <c r="K7" s="6"/>
      <c r="L7" s="4" t="s">
        <v>64</v>
      </c>
      <c r="M7" s="46" t="s">
        <v>65</v>
      </c>
      <c r="N7" s="6"/>
      <c r="O7" s="6"/>
      <c r="P7" s="6"/>
      <c r="Q7" s="6"/>
      <c r="R7" s="6"/>
      <c r="S7" s="6"/>
      <c r="T7" s="6"/>
      <c r="U7" s="6"/>
      <c r="V7" s="6"/>
    </row>
    <row r="8">
      <c r="A8" s="6" t="s">
        <v>66</v>
      </c>
      <c r="B8" s="42">
        <v>453.6</v>
      </c>
      <c r="C8" s="6"/>
      <c r="D8" s="36"/>
      <c r="E8" s="43" t="s">
        <v>67</v>
      </c>
      <c r="F8" s="44">
        <v>125.2</v>
      </c>
      <c r="G8" s="6"/>
      <c r="H8" s="43" t="s">
        <v>68</v>
      </c>
      <c r="I8" s="45">
        <v>39.45</v>
      </c>
      <c r="J8" s="6"/>
      <c r="K8" s="6"/>
      <c r="L8" s="47"/>
      <c r="M8" s="47"/>
      <c r="N8" s="6"/>
      <c r="O8" s="6"/>
      <c r="P8" s="6"/>
      <c r="Q8" s="6"/>
      <c r="R8" s="6"/>
      <c r="S8" s="6"/>
      <c r="T8" s="6"/>
      <c r="U8" s="6"/>
      <c r="V8" s="6"/>
    </row>
    <row r="9">
      <c r="A9" s="6" t="s">
        <v>69</v>
      </c>
      <c r="B9" s="42">
        <v>316.25</v>
      </c>
      <c r="C9" s="6"/>
      <c r="D9" s="36"/>
      <c r="E9" s="43" t="s">
        <v>70</v>
      </c>
      <c r="F9" s="44">
        <v>108.3</v>
      </c>
      <c r="G9" s="36"/>
      <c r="H9" s="43" t="s">
        <v>71</v>
      </c>
      <c r="I9" s="45">
        <v>325.75</v>
      </c>
      <c r="J9" s="6"/>
      <c r="K9" s="6"/>
      <c r="L9" s="47"/>
      <c r="M9" s="47"/>
      <c r="N9" s="6"/>
      <c r="O9" s="6"/>
      <c r="P9" s="6"/>
      <c r="Q9" s="6"/>
      <c r="R9" s="6"/>
      <c r="S9" s="6"/>
      <c r="T9" s="6"/>
      <c r="U9" s="6"/>
      <c r="V9" s="6"/>
    </row>
    <row r="10">
      <c r="A10" s="6" t="s">
        <v>72</v>
      </c>
      <c r="B10" s="42">
        <v>193.75</v>
      </c>
      <c r="C10" s="6"/>
      <c r="D10" s="36"/>
      <c r="E10" s="43" t="s">
        <v>73</v>
      </c>
      <c r="F10" s="44">
        <v>403.25</v>
      </c>
      <c r="G10" s="36"/>
      <c r="H10" s="43" t="s">
        <v>74</v>
      </c>
      <c r="I10" s="45">
        <v>43.0</v>
      </c>
      <c r="J10" s="6"/>
      <c r="K10" s="6"/>
      <c r="L10" s="48" t="s">
        <v>75</v>
      </c>
      <c r="M10" s="46" t="s">
        <v>76</v>
      </c>
      <c r="N10" s="6"/>
      <c r="O10" s="6"/>
      <c r="P10" s="6"/>
      <c r="Q10" s="6"/>
      <c r="R10" s="6"/>
      <c r="S10" s="6"/>
      <c r="T10" s="6"/>
      <c r="U10" s="6"/>
      <c r="V10" s="6"/>
    </row>
    <row r="11">
      <c r="A11" s="6" t="s">
        <v>77</v>
      </c>
      <c r="B11" s="42">
        <v>179.45</v>
      </c>
      <c r="C11" s="6"/>
      <c r="D11" s="36"/>
      <c r="E11" s="43" t="s">
        <v>78</v>
      </c>
      <c r="F11" s="44">
        <v>423.1</v>
      </c>
      <c r="G11" s="36"/>
      <c r="H11" s="43" t="s">
        <v>79</v>
      </c>
      <c r="I11" s="45">
        <v>926.2</v>
      </c>
      <c r="J11" s="6"/>
      <c r="K11" s="6"/>
      <c r="L11" s="47"/>
      <c r="M11" s="46" t="s">
        <v>80</v>
      </c>
      <c r="N11" s="6"/>
      <c r="O11" s="6"/>
      <c r="P11" s="6"/>
      <c r="Q11" s="6"/>
      <c r="R11" s="6"/>
      <c r="S11" s="6"/>
      <c r="T11" s="6"/>
      <c r="U11" s="6"/>
      <c r="V11" s="6"/>
    </row>
    <row r="12">
      <c r="A12" s="6" t="s">
        <v>81</v>
      </c>
      <c r="B12" s="42">
        <v>167.95</v>
      </c>
      <c r="C12" s="6"/>
      <c r="D12" s="36"/>
      <c r="E12" s="43" t="s">
        <v>82</v>
      </c>
      <c r="F12" s="44">
        <v>2182.9</v>
      </c>
      <c r="G12" s="36"/>
      <c r="H12" s="43" t="s">
        <v>83</v>
      </c>
      <c r="I12" s="45">
        <v>104.4</v>
      </c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</row>
    <row r="13">
      <c r="A13" s="6"/>
      <c r="B13" s="6"/>
      <c r="C13" s="6"/>
      <c r="D13" s="36"/>
      <c r="E13" s="43" t="s">
        <v>84</v>
      </c>
      <c r="F13" s="44">
        <v>160.3</v>
      </c>
      <c r="G13" s="36"/>
      <c r="H13" s="43" t="s">
        <v>85</v>
      </c>
      <c r="I13" s="45">
        <v>314.7</v>
      </c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</row>
    <row r="14">
      <c r="A14" s="6"/>
      <c r="B14" s="49"/>
      <c r="C14" s="6"/>
      <c r="D14" s="36"/>
      <c r="E14" s="43" t="s">
        <v>86</v>
      </c>
      <c r="F14" s="44">
        <v>425.1</v>
      </c>
      <c r="G14" s="36"/>
      <c r="H14" s="43" t="s">
        <v>66</v>
      </c>
      <c r="I14" s="44">
        <v>453.1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</row>
    <row r="15">
      <c r="A15" s="6"/>
      <c r="B15" s="6"/>
      <c r="C15" s="6"/>
      <c r="D15" s="36"/>
      <c r="E15" s="43" t="s">
        <v>87</v>
      </c>
      <c r="F15" s="44">
        <v>170.25</v>
      </c>
      <c r="G15" s="36"/>
      <c r="H15" s="43" t="s">
        <v>88</v>
      </c>
      <c r="I15" s="44">
        <v>3904.45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</row>
    <row r="16">
      <c r="A16" s="6"/>
      <c r="B16" s="49"/>
      <c r="C16" s="6"/>
      <c r="D16" s="36"/>
      <c r="E16" s="43" t="s">
        <v>89</v>
      </c>
      <c r="F16" s="44">
        <v>148.8</v>
      </c>
      <c r="G16" s="36"/>
      <c r="H16" s="43" t="s">
        <v>90</v>
      </c>
      <c r="I16" s="44">
        <v>1427.45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>
      <c r="A17" s="6"/>
      <c r="B17" s="6"/>
      <c r="C17" s="6"/>
      <c r="D17" s="36"/>
      <c r="E17" s="43" t="s">
        <v>52</v>
      </c>
      <c r="F17" s="44">
        <v>2954.3</v>
      </c>
      <c r="G17" s="36"/>
      <c r="H17" s="43" t="s">
        <v>21</v>
      </c>
      <c r="I17" s="44">
        <v>1126.65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6"/>
      <c r="B18" s="6"/>
      <c r="C18" s="6"/>
      <c r="D18" s="36"/>
      <c r="E18" s="43" t="s">
        <v>91</v>
      </c>
      <c r="F18" s="44">
        <v>3077.95</v>
      </c>
      <c r="G18" s="36"/>
      <c r="H18" s="43" t="s">
        <v>92</v>
      </c>
      <c r="I18" s="44">
        <v>5044.7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>
      <c r="A19" s="6"/>
      <c r="B19" s="6"/>
      <c r="C19" s="6"/>
      <c r="D19" s="3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</row>
    <row r="20">
      <c r="A20" s="50" t="s">
        <v>42</v>
      </c>
      <c r="B20" s="51"/>
      <c r="C20" s="52"/>
      <c r="D20" s="3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</row>
    <row r="21">
      <c r="A21" s="6" t="s">
        <v>93</v>
      </c>
      <c r="B21" s="49"/>
      <c r="C21" s="6"/>
      <c r="D21" s="3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>
      <c r="A22" s="40" t="s">
        <v>45</v>
      </c>
      <c r="B22" s="41" t="s">
        <v>46</v>
      </c>
      <c r="C22" s="40" t="s">
        <v>10</v>
      </c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>
      <c r="A23" s="47" t="s">
        <v>94</v>
      </c>
      <c r="B23" s="53">
        <v>11999.0</v>
      </c>
      <c r="C23" s="54">
        <v>9996.0</v>
      </c>
      <c r="D23" s="3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</row>
    <row r="24">
      <c r="A24" s="47" t="s">
        <v>95</v>
      </c>
      <c r="B24" s="53">
        <v>2346.85</v>
      </c>
      <c r="C24" s="54">
        <v>301201.0</v>
      </c>
      <c r="D24" s="3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</row>
    <row r="25">
      <c r="A25" s="47" t="s">
        <v>96</v>
      </c>
      <c r="B25" s="53">
        <v>1731.35</v>
      </c>
      <c r="C25" s="54">
        <v>368500.0</v>
      </c>
      <c r="D25" s="3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</row>
    <row r="26">
      <c r="A26" s="47" t="s">
        <v>97</v>
      </c>
      <c r="B26" s="53">
        <v>1514.55</v>
      </c>
      <c r="C26" s="54">
        <v>475692.0</v>
      </c>
      <c r="D26" s="3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</row>
    <row r="27">
      <c r="A27" s="47" t="s">
        <v>98</v>
      </c>
      <c r="B27" s="53">
        <v>1272.65</v>
      </c>
      <c r="C27" s="54">
        <v>989562.0</v>
      </c>
      <c r="D27" s="3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</row>
    <row r="28">
      <c r="A28" s="47" t="s">
        <v>99</v>
      </c>
      <c r="B28" s="53">
        <v>1196.15</v>
      </c>
      <c r="C28" s="54">
        <v>1414459.0</v>
      </c>
      <c r="D28" s="3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</row>
    <row r="29">
      <c r="A29" s="47" t="s">
        <v>100</v>
      </c>
      <c r="B29" s="53">
        <v>1003.7</v>
      </c>
      <c r="C29" s="54">
        <v>643424.0</v>
      </c>
      <c r="D29" s="3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</row>
    <row r="30">
      <c r="A30" s="47" t="s">
        <v>79</v>
      </c>
      <c r="B30" s="53">
        <v>962.95</v>
      </c>
      <c r="C30" s="54">
        <v>2588785.0</v>
      </c>
      <c r="D30" s="3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</row>
    <row r="31">
      <c r="A31" s="47" t="s">
        <v>101</v>
      </c>
      <c r="B31" s="53">
        <v>935.35</v>
      </c>
      <c r="C31" s="54">
        <v>135879.0</v>
      </c>
      <c r="D31" s="3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>
      <c r="A32" s="47" t="s">
        <v>102</v>
      </c>
      <c r="B32" s="53">
        <v>803.0</v>
      </c>
      <c r="C32" s="54">
        <v>136012.0</v>
      </c>
      <c r="D32" s="3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</row>
    <row r="33">
      <c r="A33" s="47" t="s">
        <v>103</v>
      </c>
      <c r="B33" s="53">
        <v>659.85</v>
      </c>
      <c r="C33" s="54">
        <v>235908.0</v>
      </c>
      <c r="D33" s="3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</row>
    <row r="34">
      <c r="A34" s="47" t="s">
        <v>104</v>
      </c>
      <c r="B34" s="53">
        <v>596.7</v>
      </c>
      <c r="C34" s="54">
        <v>409285.0</v>
      </c>
      <c r="D34" s="3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</row>
    <row r="35">
      <c r="A35" s="47" t="s">
        <v>105</v>
      </c>
      <c r="B35" s="53">
        <v>572.4</v>
      </c>
      <c r="C35" s="54">
        <v>1794889.0</v>
      </c>
      <c r="D35" s="3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</row>
    <row r="36">
      <c r="A36" s="6"/>
      <c r="B36" s="6"/>
      <c r="C36" s="6"/>
      <c r="D36" s="3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</row>
    <row r="37">
      <c r="A37" s="6"/>
      <c r="B37" s="6"/>
      <c r="C37" s="6"/>
      <c r="D37" s="3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</row>
    <row r="38">
      <c r="A38" s="6"/>
      <c r="B38" s="6"/>
      <c r="C38" s="6"/>
      <c r="D38" s="3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</row>
    <row r="39">
      <c r="A39" s="6"/>
      <c r="B39" s="6"/>
      <c r="C39" s="6"/>
      <c r="D39" s="3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>
      <c r="A40" s="6"/>
      <c r="B40" s="6"/>
      <c r="C40" s="6"/>
      <c r="D40" s="3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</row>
    <row r="41">
      <c r="A41" s="6"/>
      <c r="B41" s="6"/>
      <c r="C41" s="6"/>
      <c r="D41" s="3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>
      <c r="A42" s="6"/>
      <c r="B42" s="6"/>
      <c r="C42" s="6"/>
      <c r="D42" s="3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</row>
    <row r="43">
      <c r="A43" s="6"/>
      <c r="B43" s="49"/>
      <c r="C43" s="6"/>
      <c r="D43" s="3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</row>
    <row r="44">
      <c r="A44" s="6"/>
      <c r="B44" s="49"/>
      <c r="C44" s="6"/>
      <c r="D44" s="3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>
      <c r="A45" s="6"/>
      <c r="B45" s="49"/>
      <c r="C45" s="6"/>
      <c r="D45" s="3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</row>
    <row r="46">
      <c r="A46" s="6"/>
      <c r="B46" s="49"/>
      <c r="C46" s="6"/>
      <c r="D46" s="3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</row>
    <row r="47">
      <c r="A47" s="6"/>
      <c r="B47" s="49"/>
      <c r="C47" s="6"/>
      <c r="D47" s="3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</row>
    <row r="48">
      <c r="A48" s="6"/>
      <c r="B48" s="49"/>
      <c r="C48" s="6"/>
      <c r="D48" s="3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</row>
    <row r="49">
      <c r="A49" s="6"/>
      <c r="B49" s="49"/>
      <c r="C49" s="6"/>
      <c r="D49" s="3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</row>
    <row r="50">
      <c r="A50" s="6"/>
      <c r="B50" s="49"/>
      <c r="C50" s="6"/>
      <c r="D50" s="3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</row>
    <row r="51">
      <c r="A51" s="6"/>
      <c r="B51" s="49"/>
      <c r="C51" s="6"/>
      <c r="D51" s="3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</row>
    <row r="52">
      <c r="A52" s="6"/>
      <c r="B52" s="49"/>
      <c r="C52" s="6"/>
      <c r="D52" s="3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</row>
    <row r="53">
      <c r="A53" s="6"/>
      <c r="B53" s="49"/>
      <c r="C53" s="6"/>
      <c r="D53" s="3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</row>
    <row r="54">
      <c r="A54" s="6"/>
      <c r="B54" s="49"/>
      <c r="C54" s="6"/>
      <c r="D54" s="3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</row>
    <row r="55">
      <c r="A55" s="6"/>
      <c r="B55" s="49"/>
      <c r="C55" s="6"/>
      <c r="D55" s="3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</row>
    <row r="56">
      <c r="A56" s="6"/>
      <c r="B56" s="49"/>
      <c r="C56" s="6"/>
      <c r="D56" s="3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</row>
    <row r="57">
      <c r="A57" s="6"/>
      <c r="B57" s="49"/>
      <c r="C57" s="6"/>
      <c r="D57" s="3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</row>
    <row r="58">
      <c r="A58" s="6"/>
      <c r="B58" s="49"/>
      <c r="C58" s="6"/>
      <c r="D58" s="3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</row>
    <row r="59">
      <c r="A59" s="6"/>
      <c r="B59" s="49"/>
      <c r="C59" s="6"/>
      <c r="D59" s="3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</row>
    <row r="60">
      <c r="A60" s="6"/>
      <c r="B60" s="49"/>
      <c r="C60" s="6"/>
      <c r="D60" s="3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</row>
    <row r="61">
      <c r="A61" s="6"/>
      <c r="B61" s="49"/>
      <c r="C61" s="6"/>
      <c r="D61" s="3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>
      <c r="A62" s="6"/>
      <c r="B62" s="49"/>
      <c r="C62" s="6"/>
      <c r="D62" s="3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</row>
    <row r="63">
      <c r="A63" s="6"/>
      <c r="B63" s="49"/>
      <c r="C63" s="6"/>
      <c r="D63" s="3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</row>
    <row r="64">
      <c r="A64" s="6"/>
      <c r="B64" s="49"/>
      <c r="C64" s="6"/>
      <c r="D64" s="3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</row>
    <row r="65">
      <c r="A65" s="6"/>
      <c r="B65" s="49"/>
      <c r="C65" s="6"/>
      <c r="D65" s="3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</row>
    <row r="66">
      <c r="A66" s="6"/>
      <c r="B66" s="49"/>
      <c r="C66" s="6"/>
      <c r="D66" s="3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</row>
    <row r="67">
      <c r="A67" s="6"/>
      <c r="B67" s="49"/>
      <c r="C67" s="6"/>
      <c r="D67" s="3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</row>
    <row r="68">
      <c r="A68" s="6"/>
      <c r="B68" s="49"/>
      <c r="C68" s="6"/>
      <c r="D68" s="3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</row>
    <row r="69">
      <c r="A69" s="6"/>
      <c r="B69" s="49"/>
      <c r="C69" s="6"/>
      <c r="D69" s="3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</row>
    <row r="70">
      <c r="A70" s="6"/>
      <c r="B70" s="49"/>
      <c r="C70" s="6"/>
      <c r="D70" s="3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</row>
    <row r="71">
      <c r="A71" s="6"/>
      <c r="B71" s="49"/>
      <c r="C71" s="6"/>
      <c r="D71" s="3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</row>
    <row r="72">
      <c r="A72" s="6"/>
      <c r="B72" s="49"/>
      <c r="C72" s="6"/>
      <c r="D72" s="3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</row>
    <row r="73">
      <c r="A73" s="6"/>
      <c r="B73" s="49"/>
      <c r="C73" s="6"/>
      <c r="D73" s="3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</row>
    <row r="74">
      <c r="A74" s="6"/>
      <c r="B74" s="49"/>
      <c r="C74" s="6"/>
      <c r="D74" s="3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</row>
    <row r="75">
      <c r="A75" s="6"/>
      <c r="B75" s="49"/>
      <c r="C75" s="6"/>
      <c r="D75" s="3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</row>
    <row r="76">
      <c r="A76" s="6"/>
      <c r="B76" s="49"/>
      <c r="C76" s="6"/>
      <c r="D76" s="3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>
      <c r="A77" s="6"/>
      <c r="B77" s="49"/>
      <c r="C77" s="6"/>
      <c r="D77" s="3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>
      <c r="A78" s="6"/>
      <c r="B78" s="49"/>
      <c r="C78" s="6"/>
      <c r="D78" s="3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</row>
    <row r="79">
      <c r="A79" s="6"/>
      <c r="B79" s="49"/>
      <c r="C79" s="6"/>
      <c r="D79" s="3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>
      <c r="A80" s="6"/>
      <c r="B80" s="49"/>
      <c r="C80" s="6"/>
      <c r="D80" s="3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>
      <c r="A81" s="6"/>
      <c r="B81" s="49"/>
      <c r="C81" s="6"/>
      <c r="D81" s="3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>
      <c r="A82" s="6"/>
      <c r="B82" s="49"/>
      <c r="C82" s="6"/>
      <c r="D82" s="3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>
      <c r="A83" s="6"/>
      <c r="B83" s="49"/>
      <c r="C83" s="6"/>
      <c r="D83" s="3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>
      <c r="A84" s="6"/>
      <c r="B84" s="49"/>
      <c r="C84" s="6"/>
      <c r="D84" s="3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>
      <c r="A85" s="6"/>
      <c r="B85" s="49"/>
      <c r="C85" s="6"/>
      <c r="D85" s="3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>
      <c r="A86" s="6"/>
      <c r="B86" s="49"/>
      <c r="C86" s="6"/>
      <c r="D86" s="3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>
      <c r="A87" s="6"/>
      <c r="B87" s="49"/>
      <c r="C87" s="6"/>
      <c r="D87" s="3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>
      <c r="A88" s="6"/>
      <c r="B88" s="49"/>
      <c r="C88" s="6"/>
      <c r="D88" s="3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>
      <c r="A89" s="6"/>
      <c r="B89" s="49"/>
      <c r="C89" s="6"/>
      <c r="D89" s="3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>
      <c r="A90" s="6"/>
      <c r="B90" s="49"/>
      <c r="C90" s="6"/>
      <c r="D90" s="3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>
      <c r="A91" s="6"/>
      <c r="B91" s="49"/>
      <c r="C91" s="6"/>
      <c r="D91" s="3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>
      <c r="A92" s="6"/>
      <c r="B92" s="49"/>
      <c r="C92" s="6"/>
      <c r="D92" s="3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>
      <c r="A93" s="6"/>
      <c r="B93" s="49"/>
      <c r="C93" s="6"/>
      <c r="D93" s="3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>
      <c r="A94" s="6"/>
      <c r="B94" s="49"/>
      <c r="C94" s="6"/>
      <c r="D94" s="3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>
      <c r="A95" s="6"/>
      <c r="B95" s="49"/>
      <c r="C95" s="6"/>
      <c r="D95" s="3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>
      <c r="A96" s="6"/>
      <c r="B96" s="49"/>
      <c r="C96" s="6"/>
      <c r="D96" s="3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>
      <c r="A97" s="6"/>
      <c r="B97" s="49"/>
      <c r="C97" s="6"/>
      <c r="D97" s="3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>
      <c r="A98" s="6"/>
      <c r="B98" s="49"/>
      <c r="C98" s="6"/>
      <c r="D98" s="3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>
      <c r="A99" s="6"/>
      <c r="B99" s="49"/>
      <c r="C99" s="6"/>
      <c r="D99" s="3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>
      <c r="A100" s="6"/>
      <c r="B100" s="49"/>
      <c r="C100" s="6"/>
      <c r="D100" s="3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>
      <c r="A101" s="6"/>
      <c r="B101" s="49"/>
      <c r="C101" s="6"/>
      <c r="D101" s="3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>
      <c r="A102" s="6"/>
      <c r="B102" s="49"/>
      <c r="C102" s="6"/>
      <c r="D102" s="3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>
      <c r="A103" s="6"/>
      <c r="B103" s="49"/>
      <c r="C103" s="6"/>
      <c r="D103" s="3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>
      <c r="A104" s="6"/>
      <c r="B104" s="49"/>
      <c r="C104" s="6"/>
      <c r="D104" s="3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>
      <c r="A105" s="6"/>
      <c r="B105" s="49"/>
      <c r="C105" s="6"/>
      <c r="D105" s="3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>
      <c r="A106" s="6"/>
      <c r="B106" s="49"/>
      <c r="C106" s="6"/>
      <c r="D106" s="3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>
      <c r="A107" s="6"/>
      <c r="B107" s="49"/>
      <c r="C107" s="6"/>
      <c r="D107" s="3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>
      <c r="A108" s="6"/>
      <c r="B108" s="49"/>
      <c r="C108" s="6"/>
      <c r="D108" s="3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>
      <c r="A109" s="6"/>
      <c r="B109" s="49"/>
      <c r="C109" s="6"/>
      <c r="D109" s="3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>
      <c r="A110" s="6"/>
      <c r="B110" s="49"/>
      <c r="C110" s="6"/>
      <c r="D110" s="3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>
      <c r="A111" s="6"/>
      <c r="B111" s="49"/>
      <c r="C111" s="6"/>
      <c r="D111" s="3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>
      <c r="A112" s="6"/>
      <c r="B112" s="49"/>
      <c r="C112" s="6"/>
      <c r="D112" s="3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>
      <c r="A113" s="6"/>
      <c r="B113" s="49"/>
      <c r="C113" s="6"/>
      <c r="D113" s="3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>
      <c r="A114" s="6"/>
      <c r="B114" s="49"/>
      <c r="C114" s="6"/>
      <c r="D114" s="3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>
      <c r="A115" s="6"/>
      <c r="B115" s="49"/>
      <c r="C115" s="6"/>
      <c r="D115" s="3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>
      <c r="A116" s="6"/>
      <c r="B116" s="49"/>
      <c r="C116" s="6"/>
      <c r="D116" s="3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>
      <c r="A117" s="6"/>
      <c r="B117" s="49"/>
      <c r="C117" s="6"/>
      <c r="D117" s="3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>
      <c r="A118" s="6"/>
      <c r="B118" s="49"/>
      <c r="C118" s="6"/>
      <c r="D118" s="3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>
      <c r="A119" s="6"/>
      <c r="B119" s="49"/>
      <c r="C119" s="6"/>
      <c r="D119" s="3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>
      <c r="A120" s="6"/>
      <c r="B120" s="49"/>
      <c r="C120" s="6"/>
      <c r="D120" s="3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>
      <c r="A121" s="6"/>
      <c r="B121" s="49"/>
      <c r="C121" s="6"/>
      <c r="D121" s="3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>
      <c r="A122" s="6"/>
      <c r="B122" s="49"/>
      <c r="C122" s="6"/>
      <c r="D122" s="3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>
      <c r="A123" s="6"/>
      <c r="B123" s="49"/>
      <c r="C123" s="6"/>
      <c r="D123" s="3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>
      <c r="A124" s="6"/>
      <c r="B124" s="49"/>
      <c r="C124" s="6"/>
      <c r="D124" s="3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>
      <c r="A125" s="6"/>
      <c r="B125" s="49"/>
      <c r="C125" s="6"/>
      <c r="D125" s="3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>
      <c r="A126" s="6"/>
      <c r="B126" s="49"/>
      <c r="C126" s="6"/>
      <c r="D126" s="3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  <row r="127">
      <c r="A127" s="6"/>
      <c r="B127" s="49"/>
      <c r="C127" s="6"/>
      <c r="D127" s="3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</row>
    <row r="128">
      <c r="A128" s="6"/>
      <c r="B128" s="49"/>
      <c r="C128" s="6"/>
      <c r="D128" s="3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</row>
    <row r="129">
      <c r="A129" s="6"/>
      <c r="B129" s="49"/>
      <c r="C129" s="6"/>
      <c r="D129" s="3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</row>
    <row r="130">
      <c r="A130" s="6"/>
      <c r="B130" s="49"/>
      <c r="C130" s="6"/>
      <c r="D130" s="3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</row>
    <row r="131">
      <c r="A131" s="6"/>
      <c r="B131" s="49"/>
      <c r="C131" s="6"/>
      <c r="D131" s="3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</row>
    <row r="132">
      <c r="A132" s="6"/>
      <c r="B132" s="49"/>
      <c r="C132" s="6"/>
      <c r="D132" s="3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</row>
    <row r="133">
      <c r="A133" s="6"/>
      <c r="B133" s="49"/>
      <c r="C133" s="6"/>
      <c r="D133" s="3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</row>
    <row r="134">
      <c r="A134" s="6"/>
      <c r="B134" s="49"/>
      <c r="C134" s="6"/>
      <c r="D134" s="3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</row>
    <row r="135">
      <c r="A135" s="6"/>
      <c r="B135" s="49"/>
      <c r="C135" s="6"/>
      <c r="D135" s="3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</row>
    <row r="136">
      <c r="A136" s="6"/>
      <c r="B136" s="49"/>
      <c r="C136" s="6"/>
      <c r="D136" s="3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</row>
    <row r="137">
      <c r="A137" s="6"/>
      <c r="B137" s="49"/>
      <c r="C137" s="6"/>
      <c r="D137" s="3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</row>
    <row r="138">
      <c r="A138" s="6"/>
      <c r="B138" s="49"/>
      <c r="C138" s="6"/>
      <c r="D138" s="3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</row>
    <row r="139">
      <c r="A139" s="6"/>
      <c r="B139" s="49"/>
      <c r="C139" s="6"/>
      <c r="D139" s="3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</row>
    <row r="140">
      <c r="A140" s="6"/>
      <c r="B140" s="49"/>
      <c r="C140" s="6"/>
      <c r="D140" s="3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</row>
    <row r="141">
      <c r="A141" s="6"/>
      <c r="B141" s="49"/>
      <c r="C141" s="6"/>
      <c r="D141" s="3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</row>
    <row r="142">
      <c r="A142" s="6"/>
      <c r="B142" s="49"/>
      <c r="C142" s="6"/>
      <c r="D142" s="3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</row>
    <row r="143">
      <c r="A143" s="6"/>
      <c r="B143" s="49"/>
      <c r="C143" s="6"/>
      <c r="D143" s="3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</row>
    <row r="144">
      <c r="A144" s="6"/>
      <c r="B144" s="49"/>
      <c r="C144" s="6"/>
      <c r="D144" s="3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</row>
    <row r="145">
      <c r="A145" s="6"/>
      <c r="B145" s="49"/>
      <c r="C145" s="6"/>
      <c r="D145" s="3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</row>
    <row r="146">
      <c r="A146" s="6"/>
      <c r="B146" s="49"/>
      <c r="C146" s="6"/>
      <c r="D146" s="3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</row>
    <row r="147">
      <c r="A147" s="6"/>
      <c r="B147" s="49"/>
      <c r="C147" s="6"/>
      <c r="D147" s="3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</row>
    <row r="148">
      <c r="A148" s="6"/>
      <c r="B148" s="49"/>
      <c r="C148" s="6"/>
      <c r="D148" s="3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</row>
    <row r="149">
      <c r="A149" s="6"/>
      <c r="B149" s="49"/>
      <c r="C149" s="6"/>
      <c r="D149" s="3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</row>
    <row r="150">
      <c r="A150" s="6"/>
      <c r="B150" s="49"/>
      <c r="C150" s="6"/>
      <c r="D150" s="3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</row>
    <row r="151">
      <c r="A151" s="6"/>
      <c r="B151" s="49"/>
      <c r="C151" s="6"/>
      <c r="D151" s="3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</row>
    <row r="152">
      <c r="A152" s="6"/>
      <c r="B152" s="49"/>
      <c r="C152" s="6"/>
      <c r="D152" s="3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</row>
    <row r="153">
      <c r="A153" s="6"/>
      <c r="B153" s="49"/>
      <c r="C153" s="6"/>
      <c r="D153" s="3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</row>
    <row r="154">
      <c r="A154" s="6"/>
      <c r="B154" s="49"/>
      <c r="C154" s="6"/>
      <c r="D154" s="3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</row>
    <row r="155">
      <c r="A155" s="6"/>
      <c r="B155" s="49"/>
      <c r="C155" s="6"/>
      <c r="D155" s="3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</row>
    <row r="156">
      <c r="A156" s="6"/>
      <c r="B156" s="49"/>
      <c r="C156" s="6"/>
      <c r="D156" s="3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</row>
    <row r="157">
      <c r="A157" s="6"/>
      <c r="B157" s="49"/>
      <c r="C157" s="6"/>
      <c r="D157" s="3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</row>
    <row r="158">
      <c r="A158" s="6"/>
      <c r="B158" s="49"/>
      <c r="C158" s="6"/>
      <c r="D158" s="3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</row>
    <row r="159">
      <c r="A159" s="6"/>
      <c r="B159" s="49"/>
      <c r="C159" s="6"/>
      <c r="D159" s="3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</row>
    <row r="160">
      <c r="A160" s="6"/>
      <c r="B160" s="49"/>
      <c r="C160" s="6"/>
      <c r="D160" s="3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</row>
    <row r="161">
      <c r="A161" s="6"/>
      <c r="B161" s="49"/>
      <c r="C161" s="6"/>
      <c r="D161" s="3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</row>
    <row r="162">
      <c r="A162" s="6"/>
      <c r="B162" s="49"/>
      <c r="C162" s="6"/>
      <c r="D162" s="3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</row>
    <row r="163">
      <c r="A163" s="6"/>
      <c r="B163" s="49"/>
      <c r="C163" s="6"/>
      <c r="D163" s="3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</row>
    <row r="164">
      <c r="A164" s="6"/>
      <c r="B164" s="49"/>
      <c r="C164" s="6"/>
      <c r="D164" s="3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</row>
    <row r="165">
      <c r="A165" s="6"/>
      <c r="B165" s="49"/>
      <c r="C165" s="6"/>
      <c r="D165" s="3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</row>
    <row r="166">
      <c r="A166" s="6"/>
      <c r="B166" s="49"/>
      <c r="C166" s="6"/>
      <c r="D166" s="3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</row>
    <row r="167">
      <c r="A167" s="6"/>
      <c r="B167" s="49"/>
      <c r="C167" s="6"/>
      <c r="D167" s="3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</row>
    <row r="168">
      <c r="A168" s="6"/>
      <c r="B168" s="49"/>
      <c r="C168" s="6"/>
      <c r="D168" s="3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</row>
    <row r="169">
      <c r="A169" s="6"/>
      <c r="B169" s="49"/>
      <c r="C169" s="6"/>
      <c r="D169" s="3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</row>
    <row r="170">
      <c r="A170" s="6"/>
      <c r="B170" s="49"/>
      <c r="C170" s="6"/>
      <c r="D170" s="3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</row>
    <row r="171">
      <c r="A171" s="6"/>
      <c r="B171" s="49"/>
      <c r="C171" s="6"/>
      <c r="D171" s="3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</row>
    <row r="172">
      <c r="A172" s="6"/>
      <c r="B172" s="49"/>
      <c r="C172" s="6"/>
      <c r="D172" s="3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</row>
    <row r="173">
      <c r="A173" s="6"/>
      <c r="B173" s="49"/>
      <c r="C173" s="6"/>
      <c r="D173" s="3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</row>
    <row r="174">
      <c r="A174" s="6"/>
      <c r="B174" s="49"/>
      <c r="C174" s="6"/>
      <c r="D174" s="3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</row>
    <row r="175">
      <c r="A175" s="6"/>
      <c r="B175" s="49"/>
      <c r="C175" s="6"/>
      <c r="D175" s="3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</row>
    <row r="176">
      <c r="A176" s="6"/>
      <c r="B176" s="49"/>
      <c r="C176" s="6"/>
      <c r="D176" s="3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</row>
    <row r="177">
      <c r="A177" s="6"/>
      <c r="B177" s="49"/>
      <c r="C177" s="6"/>
      <c r="D177" s="3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</row>
    <row r="178">
      <c r="A178" s="6"/>
      <c r="B178" s="49"/>
      <c r="C178" s="6"/>
      <c r="D178" s="3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</row>
    <row r="179">
      <c r="A179" s="6"/>
      <c r="B179" s="49"/>
      <c r="C179" s="6"/>
      <c r="D179" s="3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</row>
    <row r="180">
      <c r="A180" s="6"/>
      <c r="B180" s="49"/>
      <c r="C180" s="6"/>
      <c r="D180" s="3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</row>
    <row r="181">
      <c r="A181" s="6"/>
      <c r="B181" s="49"/>
      <c r="C181" s="6"/>
      <c r="D181" s="3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</row>
    <row r="182">
      <c r="A182" s="6"/>
      <c r="B182" s="49"/>
      <c r="C182" s="6"/>
      <c r="D182" s="3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</row>
    <row r="183">
      <c r="A183" s="6"/>
      <c r="B183" s="49"/>
      <c r="C183" s="6"/>
      <c r="D183" s="3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</row>
    <row r="184">
      <c r="A184" s="6"/>
      <c r="B184" s="49"/>
      <c r="C184" s="6"/>
      <c r="D184" s="3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</row>
    <row r="185">
      <c r="A185" s="6"/>
      <c r="B185" s="49"/>
      <c r="C185" s="6"/>
      <c r="D185" s="3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</row>
    <row r="186">
      <c r="A186" s="6"/>
      <c r="B186" s="49"/>
      <c r="C186" s="6"/>
      <c r="D186" s="3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</row>
    <row r="187">
      <c r="A187" s="6"/>
      <c r="B187" s="49"/>
      <c r="C187" s="6"/>
      <c r="D187" s="3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</row>
    <row r="188">
      <c r="A188" s="6"/>
      <c r="B188" s="49"/>
      <c r="C188" s="6"/>
      <c r="D188" s="3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</row>
    <row r="189">
      <c r="A189" s="6"/>
      <c r="B189" s="49"/>
      <c r="C189" s="6"/>
      <c r="D189" s="3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</row>
    <row r="190">
      <c r="A190" s="6"/>
      <c r="B190" s="49"/>
      <c r="C190" s="6"/>
      <c r="D190" s="3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</row>
    <row r="191">
      <c r="A191" s="6"/>
      <c r="B191" s="49"/>
      <c r="C191" s="6"/>
      <c r="D191" s="3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</row>
    <row r="192">
      <c r="A192" s="6"/>
      <c r="B192" s="49"/>
      <c r="C192" s="6"/>
      <c r="D192" s="3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</row>
    <row r="193">
      <c r="A193" s="6"/>
      <c r="B193" s="49"/>
      <c r="C193" s="6"/>
      <c r="D193" s="3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</row>
    <row r="194">
      <c r="A194" s="6"/>
      <c r="B194" s="49"/>
      <c r="C194" s="6"/>
      <c r="D194" s="3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</row>
    <row r="195">
      <c r="A195" s="6"/>
      <c r="B195" s="49"/>
      <c r="C195" s="6"/>
      <c r="D195" s="3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</row>
    <row r="196">
      <c r="A196" s="6"/>
      <c r="B196" s="49"/>
      <c r="C196" s="6"/>
      <c r="D196" s="3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</row>
    <row r="197">
      <c r="A197" s="6"/>
      <c r="B197" s="49"/>
      <c r="C197" s="6"/>
      <c r="D197" s="3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</row>
    <row r="198">
      <c r="A198" s="6"/>
      <c r="B198" s="49"/>
      <c r="C198" s="6"/>
      <c r="D198" s="3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</row>
    <row r="199">
      <c r="A199" s="6"/>
      <c r="B199" s="49"/>
      <c r="C199" s="6"/>
      <c r="D199" s="3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</row>
    <row r="200">
      <c r="A200" s="6"/>
      <c r="B200" s="49"/>
      <c r="C200" s="6"/>
      <c r="D200" s="3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</row>
    <row r="201">
      <c r="A201" s="6"/>
      <c r="B201" s="49"/>
      <c r="C201" s="6"/>
      <c r="D201" s="3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</row>
    <row r="202">
      <c r="A202" s="6"/>
      <c r="B202" s="49"/>
      <c r="C202" s="6"/>
      <c r="D202" s="3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</row>
    <row r="203">
      <c r="A203" s="6"/>
      <c r="B203" s="49"/>
      <c r="C203" s="6"/>
      <c r="D203" s="3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</row>
    <row r="204">
      <c r="A204" s="6"/>
      <c r="B204" s="49"/>
      <c r="C204" s="6"/>
      <c r="D204" s="3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</row>
    <row r="205">
      <c r="A205" s="6"/>
      <c r="B205" s="49"/>
      <c r="C205" s="6"/>
      <c r="D205" s="3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</row>
    <row r="206">
      <c r="A206" s="6"/>
      <c r="B206" s="49"/>
      <c r="C206" s="6"/>
      <c r="D206" s="3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</row>
    <row r="207">
      <c r="A207" s="6"/>
      <c r="B207" s="49"/>
      <c r="C207" s="6"/>
      <c r="D207" s="3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</row>
    <row r="208">
      <c r="A208" s="6"/>
      <c r="B208" s="49"/>
      <c r="C208" s="6"/>
      <c r="D208" s="3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</row>
    <row r="209">
      <c r="A209" s="6"/>
      <c r="B209" s="49"/>
      <c r="C209" s="6"/>
      <c r="D209" s="3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</row>
    <row r="210">
      <c r="A210" s="6"/>
      <c r="B210" s="49"/>
      <c r="C210" s="6"/>
      <c r="D210" s="3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</row>
    <row r="211">
      <c r="A211" s="6"/>
      <c r="B211" s="49"/>
      <c r="C211" s="6"/>
      <c r="D211" s="3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</row>
    <row r="212">
      <c r="A212" s="6"/>
      <c r="B212" s="49"/>
      <c r="C212" s="6"/>
      <c r="D212" s="3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</row>
    <row r="213">
      <c r="A213" s="6"/>
      <c r="B213" s="49"/>
      <c r="C213" s="6"/>
      <c r="D213" s="3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</row>
    <row r="214">
      <c r="A214" s="6"/>
      <c r="B214" s="49"/>
      <c r="C214" s="6"/>
      <c r="D214" s="3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</row>
    <row r="215">
      <c r="A215" s="6"/>
      <c r="B215" s="49"/>
      <c r="C215" s="6"/>
      <c r="D215" s="3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</row>
    <row r="216">
      <c r="A216" s="6"/>
      <c r="B216" s="49"/>
      <c r="C216" s="6"/>
      <c r="D216" s="3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</row>
    <row r="217">
      <c r="A217" s="6"/>
      <c r="B217" s="49"/>
      <c r="C217" s="6"/>
      <c r="D217" s="3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</row>
    <row r="218">
      <c r="A218" s="6"/>
      <c r="B218" s="49"/>
      <c r="C218" s="6"/>
      <c r="D218" s="3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</row>
    <row r="219">
      <c r="A219" s="6"/>
      <c r="B219" s="49"/>
      <c r="C219" s="6"/>
      <c r="D219" s="3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</row>
    <row r="220">
      <c r="A220" s="6"/>
      <c r="B220" s="49"/>
      <c r="C220" s="6"/>
      <c r="D220" s="3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</row>
    <row r="221">
      <c r="A221" s="6"/>
      <c r="B221" s="49"/>
      <c r="C221" s="6"/>
      <c r="D221" s="3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</row>
    <row r="222">
      <c r="A222" s="6"/>
      <c r="B222" s="49"/>
      <c r="C222" s="6"/>
      <c r="D222" s="3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</row>
    <row r="223">
      <c r="A223" s="6"/>
      <c r="B223" s="49"/>
      <c r="C223" s="6"/>
      <c r="D223" s="3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</row>
    <row r="224">
      <c r="A224" s="6"/>
      <c r="B224" s="49"/>
      <c r="C224" s="6"/>
      <c r="D224" s="3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</row>
    <row r="225">
      <c r="A225" s="6"/>
      <c r="B225" s="49"/>
      <c r="C225" s="6"/>
      <c r="D225" s="3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</row>
    <row r="226">
      <c r="A226" s="6"/>
      <c r="B226" s="49"/>
      <c r="C226" s="6"/>
      <c r="D226" s="3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</row>
    <row r="227">
      <c r="A227" s="6"/>
      <c r="B227" s="49"/>
      <c r="C227" s="6"/>
      <c r="D227" s="3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</row>
    <row r="228">
      <c r="A228" s="6"/>
      <c r="B228" s="49"/>
      <c r="C228" s="6"/>
      <c r="D228" s="3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</row>
    <row r="229">
      <c r="A229" s="6"/>
      <c r="B229" s="49"/>
      <c r="C229" s="6"/>
      <c r="D229" s="3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</row>
    <row r="230">
      <c r="A230" s="6"/>
      <c r="B230" s="49"/>
      <c r="C230" s="6"/>
      <c r="D230" s="3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</row>
    <row r="231">
      <c r="A231" s="6"/>
      <c r="B231" s="49"/>
      <c r="C231" s="6"/>
      <c r="D231" s="3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</row>
    <row r="232">
      <c r="A232" s="6"/>
      <c r="B232" s="49"/>
      <c r="C232" s="6"/>
      <c r="D232" s="3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</row>
    <row r="233">
      <c r="A233" s="6"/>
      <c r="B233" s="49"/>
      <c r="C233" s="6"/>
      <c r="D233" s="3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</row>
    <row r="234">
      <c r="A234" s="6"/>
      <c r="B234" s="49"/>
      <c r="C234" s="6"/>
      <c r="D234" s="3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</row>
    <row r="235">
      <c r="A235" s="6"/>
      <c r="B235" s="49"/>
      <c r="C235" s="6"/>
      <c r="D235" s="3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</row>
    <row r="236">
      <c r="A236" s="6"/>
      <c r="B236" s="49"/>
      <c r="C236" s="6"/>
      <c r="D236" s="3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</row>
    <row r="237">
      <c r="A237" s="6"/>
      <c r="B237" s="49"/>
      <c r="C237" s="6"/>
      <c r="D237" s="3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</row>
    <row r="238">
      <c r="A238" s="6"/>
      <c r="B238" s="49"/>
      <c r="C238" s="6"/>
      <c r="D238" s="3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</row>
    <row r="239">
      <c r="A239" s="6"/>
      <c r="B239" s="49"/>
      <c r="C239" s="6"/>
      <c r="D239" s="3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</row>
    <row r="240">
      <c r="A240" s="6"/>
      <c r="B240" s="49"/>
      <c r="C240" s="6"/>
      <c r="D240" s="3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</row>
    <row r="241">
      <c r="A241" s="6"/>
      <c r="B241" s="49"/>
      <c r="C241" s="6"/>
      <c r="D241" s="3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</row>
    <row r="242">
      <c r="A242" s="6"/>
      <c r="B242" s="49"/>
      <c r="C242" s="6"/>
      <c r="D242" s="3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</row>
    <row r="243">
      <c r="A243" s="6"/>
      <c r="B243" s="49"/>
      <c r="C243" s="6"/>
      <c r="D243" s="3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</row>
    <row r="244">
      <c r="A244" s="6"/>
      <c r="B244" s="49"/>
      <c r="C244" s="6"/>
      <c r="D244" s="3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</row>
    <row r="245">
      <c r="A245" s="6"/>
      <c r="B245" s="49"/>
      <c r="C245" s="6"/>
      <c r="D245" s="3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</row>
    <row r="246">
      <c r="A246" s="6"/>
      <c r="B246" s="49"/>
      <c r="C246" s="6"/>
      <c r="D246" s="3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</row>
    <row r="247">
      <c r="A247" s="6"/>
      <c r="B247" s="49"/>
      <c r="C247" s="6"/>
      <c r="D247" s="3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</row>
    <row r="248">
      <c r="A248" s="6"/>
      <c r="B248" s="49"/>
      <c r="C248" s="6"/>
      <c r="D248" s="3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</row>
    <row r="249">
      <c r="A249" s="6"/>
      <c r="B249" s="49"/>
      <c r="C249" s="6"/>
      <c r="D249" s="3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</row>
    <row r="250">
      <c r="A250" s="6"/>
      <c r="B250" s="49"/>
      <c r="C250" s="6"/>
      <c r="D250" s="3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</row>
    <row r="251">
      <c r="A251" s="6"/>
      <c r="B251" s="49"/>
      <c r="C251" s="6"/>
      <c r="D251" s="3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</row>
    <row r="252">
      <c r="A252" s="6"/>
      <c r="B252" s="49"/>
      <c r="C252" s="6"/>
      <c r="D252" s="3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</row>
    <row r="253">
      <c r="A253" s="6"/>
      <c r="B253" s="49"/>
      <c r="C253" s="6"/>
      <c r="D253" s="3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</row>
    <row r="254">
      <c r="A254" s="6"/>
      <c r="B254" s="49"/>
      <c r="C254" s="6"/>
      <c r="D254" s="3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</row>
    <row r="255">
      <c r="A255" s="6"/>
      <c r="B255" s="49"/>
      <c r="C255" s="6"/>
      <c r="D255" s="3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</row>
    <row r="256">
      <c r="A256" s="6"/>
      <c r="B256" s="49"/>
      <c r="C256" s="6"/>
      <c r="D256" s="3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</row>
    <row r="257">
      <c r="A257" s="6"/>
      <c r="B257" s="49"/>
      <c r="C257" s="6"/>
      <c r="D257" s="3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</row>
    <row r="258">
      <c r="A258" s="6"/>
      <c r="B258" s="49"/>
      <c r="C258" s="6"/>
      <c r="D258" s="3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</row>
    <row r="259">
      <c r="A259" s="6"/>
      <c r="B259" s="49"/>
      <c r="C259" s="6"/>
      <c r="D259" s="3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</row>
    <row r="260">
      <c r="A260" s="6"/>
      <c r="B260" s="49"/>
      <c r="C260" s="6"/>
      <c r="D260" s="3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</row>
    <row r="261">
      <c r="A261" s="6"/>
      <c r="B261" s="49"/>
      <c r="C261" s="6"/>
      <c r="D261" s="3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</row>
    <row r="262">
      <c r="A262" s="6"/>
      <c r="B262" s="49"/>
      <c r="C262" s="6"/>
      <c r="D262" s="3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</row>
    <row r="263">
      <c r="A263" s="6"/>
      <c r="B263" s="49"/>
      <c r="C263" s="6"/>
      <c r="D263" s="3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</row>
    <row r="264">
      <c r="A264" s="6"/>
      <c r="B264" s="49"/>
      <c r="C264" s="6"/>
      <c r="D264" s="3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</row>
    <row r="265">
      <c r="A265" s="6"/>
      <c r="B265" s="49"/>
      <c r="C265" s="6"/>
      <c r="D265" s="3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</row>
    <row r="266">
      <c r="A266" s="6"/>
      <c r="B266" s="49"/>
      <c r="C266" s="6"/>
      <c r="D266" s="3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</row>
    <row r="267">
      <c r="A267" s="6"/>
      <c r="B267" s="49"/>
      <c r="C267" s="6"/>
      <c r="D267" s="3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</row>
    <row r="268">
      <c r="A268" s="6"/>
      <c r="B268" s="49"/>
      <c r="C268" s="6"/>
      <c r="D268" s="3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</row>
    <row r="269">
      <c r="A269" s="6"/>
      <c r="B269" s="49"/>
      <c r="C269" s="6"/>
      <c r="D269" s="3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</row>
    <row r="270">
      <c r="A270" s="6"/>
      <c r="B270" s="49"/>
      <c r="C270" s="6"/>
      <c r="D270" s="3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</row>
    <row r="271">
      <c r="A271" s="6"/>
      <c r="B271" s="49"/>
      <c r="C271" s="6"/>
      <c r="D271" s="3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</row>
    <row r="272">
      <c r="A272" s="6"/>
      <c r="B272" s="49"/>
      <c r="C272" s="6"/>
      <c r="D272" s="3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</row>
    <row r="273">
      <c r="A273" s="6"/>
      <c r="B273" s="49"/>
      <c r="C273" s="6"/>
      <c r="D273" s="3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</row>
    <row r="274">
      <c r="A274" s="6"/>
      <c r="B274" s="49"/>
      <c r="C274" s="6"/>
      <c r="D274" s="3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</row>
    <row r="275">
      <c r="A275" s="6"/>
      <c r="B275" s="49"/>
      <c r="C275" s="6"/>
      <c r="D275" s="3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</row>
    <row r="276">
      <c r="A276" s="6"/>
      <c r="B276" s="49"/>
      <c r="C276" s="6"/>
      <c r="D276" s="3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</row>
    <row r="277">
      <c r="A277" s="6"/>
      <c r="B277" s="49"/>
      <c r="C277" s="6"/>
      <c r="D277" s="3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</row>
    <row r="278">
      <c r="A278" s="6"/>
      <c r="B278" s="49"/>
      <c r="C278" s="6"/>
      <c r="D278" s="3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</row>
    <row r="279">
      <c r="A279" s="6"/>
      <c r="B279" s="49"/>
      <c r="C279" s="6"/>
      <c r="D279" s="3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</row>
    <row r="280">
      <c r="A280" s="6"/>
      <c r="B280" s="49"/>
      <c r="C280" s="6"/>
      <c r="D280" s="3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</row>
    <row r="281">
      <c r="A281" s="6"/>
      <c r="B281" s="49"/>
      <c r="C281" s="6"/>
      <c r="D281" s="3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</row>
    <row r="282">
      <c r="A282" s="6"/>
      <c r="B282" s="49"/>
      <c r="C282" s="6"/>
      <c r="D282" s="3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</row>
    <row r="283">
      <c r="A283" s="6"/>
      <c r="B283" s="49"/>
      <c r="C283" s="6"/>
      <c r="D283" s="3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</row>
    <row r="284">
      <c r="A284" s="6"/>
      <c r="B284" s="49"/>
      <c r="C284" s="6"/>
      <c r="D284" s="3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</row>
    <row r="285">
      <c r="A285" s="6"/>
      <c r="B285" s="49"/>
      <c r="C285" s="6"/>
      <c r="D285" s="3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</row>
    <row r="286">
      <c r="A286" s="6"/>
      <c r="B286" s="49"/>
      <c r="C286" s="6"/>
      <c r="D286" s="3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</row>
    <row r="287">
      <c r="A287" s="6"/>
      <c r="B287" s="49"/>
      <c r="C287" s="6"/>
      <c r="D287" s="3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</row>
    <row r="288">
      <c r="A288" s="6"/>
      <c r="B288" s="49"/>
      <c r="C288" s="6"/>
      <c r="D288" s="3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</row>
    <row r="289">
      <c r="A289" s="6"/>
      <c r="B289" s="49"/>
      <c r="C289" s="6"/>
      <c r="D289" s="3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</row>
    <row r="290">
      <c r="A290" s="6"/>
      <c r="B290" s="49"/>
      <c r="C290" s="6"/>
      <c r="D290" s="3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</row>
    <row r="291">
      <c r="A291" s="6"/>
      <c r="B291" s="49"/>
      <c r="C291" s="6"/>
      <c r="D291" s="3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</row>
    <row r="292">
      <c r="A292" s="6"/>
      <c r="B292" s="49"/>
      <c r="C292" s="6"/>
      <c r="D292" s="3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</row>
    <row r="293">
      <c r="A293" s="6"/>
      <c r="B293" s="49"/>
      <c r="C293" s="6"/>
      <c r="D293" s="3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</row>
    <row r="294">
      <c r="A294" s="6"/>
      <c r="B294" s="49"/>
      <c r="C294" s="6"/>
      <c r="D294" s="3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</row>
    <row r="295">
      <c r="A295" s="6"/>
      <c r="B295" s="49"/>
      <c r="C295" s="6"/>
      <c r="D295" s="3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</row>
    <row r="296">
      <c r="A296" s="6"/>
      <c r="B296" s="49"/>
      <c r="C296" s="6"/>
      <c r="D296" s="3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</row>
    <row r="297">
      <c r="A297" s="6"/>
      <c r="B297" s="49"/>
      <c r="C297" s="6"/>
      <c r="D297" s="3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</row>
    <row r="298">
      <c r="A298" s="6"/>
      <c r="B298" s="49"/>
      <c r="C298" s="6"/>
      <c r="D298" s="3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</row>
    <row r="299">
      <c r="A299" s="6"/>
      <c r="B299" s="49"/>
      <c r="C299" s="6"/>
      <c r="D299" s="3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</row>
    <row r="300">
      <c r="A300" s="6"/>
      <c r="B300" s="49"/>
      <c r="C300" s="6"/>
      <c r="D300" s="3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</row>
    <row r="301">
      <c r="A301" s="6"/>
      <c r="B301" s="49"/>
      <c r="C301" s="6"/>
      <c r="D301" s="3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</row>
    <row r="302">
      <c r="A302" s="6"/>
      <c r="B302" s="49"/>
      <c r="C302" s="6"/>
      <c r="D302" s="3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</row>
    <row r="303">
      <c r="A303" s="6"/>
      <c r="B303" s="49"/>
      <c r="C303" s="6"/>
      <c r="D303" s="3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</row>
    <row r="304">
      <c r="A304" s="6"/>
      <c r="B304" s="49"/>
      <c r="C304" s="6"/>
      <c r="D304" s="3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</row>
    <row r="305">
      <c r="A305" s="6"/>
      <c r="B305" s="49"/>
      <c r="C305" s="6"/>
      <c r="D305" s="3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</row>
    <row r="306">
      <c r="A306" s="6"/>
      <c r="B306" s="49"/>
      <c r="C306" s="6"/>
      <c r="D306" s="3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</row>
    <row r="307">
      <c r="A307" s="6"/>
      <c r="B307" s="49"/>
      <c r="C307" s="6"/>
      <c r="D307" s="3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</row>
    <row r="308">
      <c r="A308" s="6"/>
      <c r="B308" s="49"/>
      <c r="C308" s="6"/>
      <c r="D308" s="3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</row>
    <row r="309">
      <c r="A309" s="6"/>
      <c r="B309" s="49"/>
      <c r="C309" s="6"/>
      <c r="D309" s="3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</row>
    <row r="310">
      <c r="A310" s="6"/>
      <c r="B310" s="49"/>
      <c r="C310" s="6"/>
      <c r="D310" s="3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</row>
    <row r="311">
      <c r="A311" s="6"/>
      <c r="B311" s="49"/>
      <c r="C311" s="6"/>
      <c r="D311" s="3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</row>
    <row r="312">
      <c r="A312" s="6"/>
      <c r="B312" s="49"/>
      <c r="C312" s="6"/>
      <c r="D312" s="3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</row>
    <row r="313">
      <c r="A313" s="6"/>
      <c r="B313" s="49"/>
      <c r="C313" s="6"/>
      <c r="D313" s="3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</row>
    <row r="314">
      <c r="A314" s="6"/>
      <c r="B314" s="49"/>
      <c r="C314" s="6"/>
      <c r="D314" s="3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</row>
    <row r="315">
      <c r="A315" s="6"/>
      <c r="B315" s="49"/>
      <c r="C315" s="6"/>
      <c r="D315" s="3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</row>
    <row r="316">
      <c r="A316" s="6"/>
      <c r="B316" s="49"/>
      <c r="C316" s="6"/>
      <c r="D316" s="3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</row>
    <row r="317">
      <c r="A317" s="6"/>
      <c r="B317" s="49"/>
      <c r="C317" s="6"/>
      <c r="D317" s="3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</row>
    <row r="318">
      <c r="A318" s="6"/>
      <c r="B318" s="49"/>
      <c r="C318" s="6"/>
      <c r="D318" s="3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</row>
    <row r="319">
      <c r="A319" s="6"/>
      <c r="B319" s="49"/>
      <c r="C319" s="6"/>
      <c r="D319" s="3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</row>
    <row r="320">
      <c r="A320" s="6"/>
      <c r="B320" s="49"/>
      <c r="C320" s="6"/>
      <c r="D320" s="3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</row>
    <row r="321">
      <c r="A321" s="6"/>
      <c r="B321" s="49"/>
      <c r="C321" s="6"/>
      <c r="D321" s="3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</row>
    <row r="322">
      <c r="A322" s="6"/>
      <c r="B322" s="49"/>
      <c r="C322" s="6"/>
      <c r="D322" s="3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</row>
    <row r="323">
      <c r="A323" s="6"/>
      <c r="B323" s="49"/>
      <c r="C323" s="6"/>
      <c r="D323" s="3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</row>
    <row r="324">
      <c r="A324" s="6"/>
      <c r="B324" s="49"/>
      <c r="C324" s="6"/>
      <c r="D324" s="3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</row>
    <row r="325">
      <c r="A325" s="6"/>
      <c r="B325" s="49"/>
      <c r="C325" s="6"/>
      <c r="D325" s="3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</row>
    <row r="326">
      <c r="A326" s="6"/>
      <c r="B326" s="49"/>
      <c r="C326" s="6"/>
      <c r="D326" s="3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</row>
    <row r="327">
      <c r="A327" s="6"/>
      <c r="B327" s="49"/>
      <c r="C327" s="6"/>
      <c r="D327" s="3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</row>
    <row r="328">
      <c r="A328" s="6"/>
      <c r="B328" s="49"/>
      <c r="C328" s="6"/>
      <c r="D328" s="3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</row>
    <row r="329">
      <c r="A329" s="6"/>
      <c r="B329" s="49"/>
      <c r="C329" s="6"/>
      <c r="D329" s="3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</row>
    <row r="330">
      <c r="A330" s="6"/>
      <c r="B330" s="49"/>
      <c r="C330" s="6"/>
      <c r="D330" s="3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</row>
    <row r="331">
      <c r="A331" s="6"/>
      <c r="B331" s="49"/>
      <c r="C331" s="6"/>
      <c r="D331" s="3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</row>
    <row r="332">
      <c r="A332" s="6"/>
      <c r="B332" s="49"/>
      <c r="C332" s="6"/>
      <c r="D332" s="3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</row>
    <row r="333">
      <c r="A333" s="6"/>
      <c r="B333" s="49"/>
      <c r="C333" s="6"/>
      <c r="D333" s="3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</row>
    <row r="334">
      <c r="A334" s="6"/>
      <c r="B334" s="49"/>
      <c r="C334" s="6"/>
      <c r="D334" s="3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</row>
    <row r="335">
      <c r="A335" s="6"/>
      <c r="B335" s="49"/>
      <c r="C335" s="6"/>
      <c r="D335" s="3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</row>
    <row r="336">
      <c r="A336" s="6"/>
      <c r="B336" s="49"/>
      <c r="C336" s="6"/>
      <c r="D336" s="3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</row>
    <row r="337">
      <c r="A337" s="6"/>
      <c r="B337" s="49"/>
      <c r="C337" s="6"/>
      <c r="D337" s="3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</row>
    <row r="338">
      <c r="A338" s="6"/>
      <c r="B338" s="49"/>
      <c r="C338" s="6"/>
      <c r="D338" s="3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</row>
    <row r="339">
      <c r="A339" s="6"/>
      <c r="B339" s="49"/>
      <c r="C339" s="6"/>
      <c r="D339" s="3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</row>
    <row r="340">
      <c r="A340" s="6"/>
      <c r="B340" s="49"/>
      <c r="C340" s="6"/>
      <c r="D340" s="3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</row>
    <row r="341">
      <c r="A341" s="6"/>
      <c r="B341" s="49"/>
      <c r="C341" s="6"/>
      <c r="D341" s="3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</row>
    <row r="342">
      <c r="A342" s="6"/>
      <c r="B342" s="49"/>
      <c r="C342" s="6"/>
      <c r="D342" s="3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</row>
    <row r="343">
      <c r="A343" s="6"/>
      <c r="B343" s="49"/>
      <c r="C343" s="6"/>
      <c r="D343" s="3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</row>
    <row r="344">
      <c r="A344" s="6"/>
      <c r="B344" s="49"/>
      <c r="C344" s="6"/>
      <c r="D344" s="3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</row>
    <row r="345">
      <c r="A345" s="6"/>
      <c r="B345" s="49"/>
      <c r="C345" s="6"/>
      <c r="D345" s="3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</row>
    <row r="346">
      <c r="A346" s="6"/>
      <c r="B346" s="49"/>
      <c r="C346" s="6"/>
      <c r="D346" s="3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</row>
    <row r="347">
      <c r="A347" s="6"/>
      <c r="B347" s="49"/>
      <c r="C347" s="6"/>
      <c r="D347" s="3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</row>
    <row r="348">
      <c r="A348" s="6"/>
      <c r="B348" s="49"/>
      <c r="C348" s="6"/>
      <c r="D348" s="3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</row>
    <row r="349">
      <c r="A349" s="6"/>
      <c r="B349" s="49"/>
      <c r="C349" s="6"/>
      <c r="D349" s="3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</row>
    <row r="350">
      <c r="A350" s="6"/>
      <c r="B350" s="49"/>
      <c r="C350" s="6"/>
      <c r="D350" s="3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</row>
    <row r="351">
      <c r="A351" s="6"/>
      <c r="B351" s="49"/>
      <c r="C351" s="6"/>
      <c r="D351" s="3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</row>
    <row r="352">
      <c r="A352" s="6"/>
      <c r="B352" s="49"/>
      <c r="C352" s="6"/>
      <c r="D352" s="3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</row>
    <row r="353">
      <c r="A353" s="6"/>
      <c r="B353" s="49"/>
      <c r="C353" s="6"/>
      <c r="D353" s="3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</row>
    <row r="354">
      <c r="A354" s="6"/>
      <c r="B354" s="49"/>
      <c r="C354" s="6"/>
      <c r="D354" s="3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</row>
    <row r="355">
      <c r="A355" s="6"/>
      <c r="B355" s="49"/>
      <c r="C355" s="6"/>
      <c r="D355" s="3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</row>
    <row r="356">
      <c r="A356" s="6"/>
      <c r="B356" s="49"/>
      <c r="C356" s="6"/>
      <c r="D356" s="3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</row>
    <row r="357">
      <c r="A357" s="6"/>
      <c r="B357" s="49"/>
      <c r="C357" s="6"/>
      <c r="D357" s="3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</row>
    <row r="358">
      <c r="A358" s="6"/>
      <c r="B358" s="49"/>
      <c r="C358" s="6"/>
      <c r="D358" s="3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</row>
    <row r="359">
      <c r="A359" s="6"/>
      <c r="B359" s="49"/>
      <c r="C359" s="6"/>
      <c r="D359" s="3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</row>
    <row r="360">
      <c r="A360" s="6"/>
      <c r="B360" s="49"/>
      <c r="C360" s="6"/>
      <c r="D360" s="3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</row>
    <row r="361">
      <c r="A361" s="6"/>
      <c r="B361" s="49"/>
      <c r="C361" s="6"/>
      <c r="D361" s="3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</row>
    <row r="362">
      <c r="A362" s="6"/>
      <c r="B362" s="49"/>
      <c r="C362" s="6"/>
      <c r="D362" s="3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</row>
    <row r="363">
      <c r="A363" s="6"/>
      <c r="B363" s="49"/>
      <c r="C363" s="6"/>
      <c r="D363" s="3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</row>
    <row r="364">
      <c r="A364" s="6"/>
      <c r="B364" s="49"/>
      <c r="C364" s="6"/>
      <c r="D364" s="3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</row>
    <row r="365">
      <c r="A365" s="6"/>
      <c r="B365" s="49"/>
      <c r="C365" s="6"/>
      <c r="D365" s="3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</row>
    <row r="366">
      <c r="A366" s="6"/>
      <c r="B366" s="49"/>
      <c r="C366" s="6"/>
      <c r="D366" s="3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</row>
    <row r="367">
      <c r="A367" s="6"/>
      <c r="B367" s="49"/>
      <c r="C367" s="6"/>
      <c r="D367" s="3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</row>
    <row r="368">
      <c r="A368" s="6"/>
      <c r="B368" s="49"/>
      <c r="C368" s="6"/>
      <c r="D368" s="3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</row>
    <row r="369">
      <c r="A369" s="6"/>
      <c r="B369" s="49"/>
      <c r="C369" s="6"/>
      <c r="D369" s="3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</row>
    <row r="370">
      <c r="A370" s="6"/>
      <c r="B370" s="49"/>
      <c r="C370" s="6"/>
      <c r="D370" s="3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</row>
    <row r="371">
      <c r="A371" s="6"/>
      <c r="B371" s="49"/>
      <c r="C371" s="6"/>
      <c r="D371" s="3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</row>
    <row r="372">
      <c r="A372" s="6"/>
      <c r="B372" s="49"/>
      <c r="C372" s="6"/>
      <c r="D372" s="3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</row>
    <row r="373">
      <c r="A373" s="6"/>
      <c r="B373" s="49"/>
      <c r="C373" s="6"/>
      <c r="D373" s="3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</row>
    <row r="374">
      <c r="A374" s="6"/>
      <c r="B374" s="49"/>
      <c r="C374" s="6"/>
      <c r="D374" s="3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</row>
    <row r="375">
      <c r="A375" s="6"/>
      <c r="B375" s="49"/>
      <c r="C375" s="6"/>
      <c r="D375" s="3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</row>
    <row r="376">
      <c r="A376" s="6"/>
      <c r="B376" s="49"/>
      <c r="C376" s="6"/>
      <c r="D376" s="3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</row>
    <row r="377">
      <c r="A377" s="6"/>
      <c r="B377" s="49"/>
      <c r="C377" s="6"/>
      <c r="D377" s="3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</row>
    <row r="378">
      <c r="A378" s="6"/>
      <c r="B378" s="49"/>
      <c r="C378" s="6"/>
      <c r="D378" s="3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</row>
    <row r="379">
      <c r="A379" s="6"/>
      <c r="B379" s="49"/>
      <c r="C379" s="6"/>
      <c r="D379" s="3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</row>
    <row r="380">
      <c r="A380" s="6"/>
      <c r="B380" s="49"/>
      <c r="C380" s="6"/>
      <c r="D380" s="3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</row>
    <row r="381">
      <c r="A381" s="6"/>
      <c r="B381" s="49"/>
      <c r="C381" s="6"/>
      <c r="D381" s="3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</row>
    <row r="382">
      <c r="A382" s="6"/>
      <c r="B382" s="49"/>
      <c r="C382" s="6"/>
      <c r="D382" s="3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</row>
    <row r="383">
      <c r="A383" s="6"/>
      <c r="B383" s="49"/>
      <c r="C383" s="6"/>
      <c r="D383" s="3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</row>
    <row r="384">
      <c r="A384" s="6"/>
      <c r="B384" s="49"/>
      <c r="C384" s="6"/>
      <c r="D384" s="3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</row>
    <row r="385">
      <c r="A385" s="6"/>
      <c r="B385" s="49"/>
      <c r="C385" s="6"/>
      <c r="D385" s="3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</row>
    <row r="386">
      <c r="A386" s="6"/>
      <c r="B386" s="49"/>
      <c r="C386" s="6"/>
      <c r="D386" s="3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</row>
    <row r="387">
      <c r="A387" s="6"/>
      <c r="B387" s="49"/>
      <c r="C387" s="6"/>
      <c r="D387" s="3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</row>
    <row r="388">
      <c r="A388" s="6"/>
      <c r="B388" s="49"/>
      <c r="C388" s="6"/>
      <c r="D388" s="3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</row>
    <row r="389">
      <c r="A389" s="6"/>
      <c r="B389" s="49"/>
      <c r="C389" s="6"/>
      <c r="D389" s="3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</row>
    <row r="390">
      <c r="A390" s="6"/>
      <c r="B390" s="49"/>
      <c r="C390" s="6"/>
      <c r="D390" s="3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</row>
    <row r="391">
      <c r="A391" s="6"/>
      <c r="B391" s="49"/>
      <c r="C391" s="6"/>
      <c r="D391" s="3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</row>
    <row r="392">
      <c r="A392" s="6"/>
      <c r="B392" s="49"/>
      <c r="C392" s="6"/>
      <c r="D392" s="3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</row>
    <row r="393">
      <c r="A393" s="6"/>
      <c r="B393" s="49"/>
      <c r="C393" s="6"/>
      <c r="D393" s="3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</row>
    <row r="394">
      <c r="A394" s="6"/>
      <c r="B394" s="49"/>
      <c r="C394" s="6"/>
      <c r="D394" s="3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</row>
    <row r="395">
      <c r="A395" s="6"/>
      <c r="B395" s="49"/>
      <c r="C395" s="6"/>
      <c r="D395" s="3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</row>
    <row r="396">
      <c r="A396" s="6"/>
      <c r="B396" s="49"/>
      <c r="C396" s="6"/>
      <c r="D396" s="3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</row>
    <row r="397">
      <c r="A397" s="6"/>
      <c r="B397" s="49"/>
      <c r="C397" s="6"/>
      <c r="D397" s="3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</row>
    <row r="398">
      <c r="A398" s="6"/>
      <c r="B398" s="49"/>
      <c r="C398" s="6"/>
      <c r="D398" s="3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</row>
    <row r="399">
      <c r="A399" s="6"/>
      <c r="B399" s="49"/>
      <c r="C399" s="6"/>
      <c r="D399" s="3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</row>
    <row r="400">
      <c r="A400" s="6"/>
      <c r="B400" s="49"/>
      <c r="C400" s="6"/>
      <c r="D400" s="3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</row>
    <row r="401">
      <c r="A401" s="6"/>
      <c r="B401" s="49"/>
      <c r="C401" s="6"/>
      <c r="D401" s="3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</row>
    <row r="402">
      <c r="A402" s="6"/>
      <c r="B402" s="49"/>
      <c r="C402" s="6"/>
      <c r="D402" s="3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</row>
    <row r="403">
      <c r="A403" s="6"/>
      <c r="B403" s="49"/>
      <c r="C403" s="6"/>
      <c r="D403" s="3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</row>
    <row r="404">
      <c r="A404" s="6"/>
      <c r="B404" s="49"/>
      <c r="C404" s="6"/>
      <c r="D404" s="3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</row>
    <row r="405">
      <c r="A405" s="6"/>
      <c r="B405" s="49"/>
      <c r="C405" s="6"/>
      <c r="D405" s="3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</row>
    <row r="406">
      <c r="A406" s="6"/>
      <c r="B406" s="49"/>
      <c r="C406" s="6"/>
      <c r="D406" s="3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</row>
    <row r="407">
      <c r="A407" s="6"/>
      <c r="B407" s="49"/>
      <c r="C407" s="6"/>
      <c r="D407" s="3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</row>
    <row r="408">
      <c r="A408" s="6"/>
      <c r="B408" s="49"/>
      <c r="C408" s="6"/>
      <c r="D408" s="3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</row>
    <row r="409">
      <c r="A409" s="6"/>
      <c r="B409" s="49"/>
      <c r="C409" s="6"/>
      <c r="D409" s="3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</row>
    <row r="410">
      <c r="A410" s="6"/>
      <c r="B410" s="49"/>
      <c r="C410" s="6"/>
      <c r="D410" s="3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</row>
    <row r="411">
      <c r="A411" s="6"/>
      <c r="B411" s="49"/>
      <c r="C411" s="6"/>
      <c r="D411" s="3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</row>
    <row r="412">
      <c r="A412" s="6"/>
      <c r="B412" s="49"/>
      <c r="C412" s="6"/>
      <c r="D412" s="3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</row>
    <row r="413">
      <c r="A413" s="6"/>
      <c r="B413" s="49"/>
      <c r="C413" s="6"/>
      <c r="D413" s="3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</row>
    <row r="414">
      <c r="A414" s="6"/>
      <c r="B414" s="49"/>
      <c r="C414" s="6"/>
      <c r="D414" s="3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</row>
    <row r="415">
      <c r="A415" s="6"/>
      <c r="B415" s="49"/>
      <c r="C415" s="6"/>
      <c r="D415" s="3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</row>
    <row r="416">
      <c r="A416" s="6"/>
      <c r="B416" s="49"/>
      <c r="C416" s="6"/>
      <c r="D416" s="3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</row>
    <row r="417">
      <c r="A417" s="6"/>
      <c r="B417" s="49"/>
      <c r="C417" s="6"/>
      <c r="D417" s="3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</row>
    <row r="418">
      <c r="A418" s="6"/>
      <c r="B418" s="49"/>
      <c r="C418" s="6"/>
      <c r="D418" s="3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</row>
    <row r="419">
      <c r="A419" s="6"/>
      <c r="B419" s="49"/>
      <c r="C419" s="6"/>
      <c r="D419" s="3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</row>
    <row r="420">
      <c r="A420" s="6"/>
      <c r="B420" s="49"/>
      <c r="C420" s="6"/>
      <c r="D420" s="3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</row>
    <row r="421">
      <c r="A421" s="6"/>
      <c r="B421" s="49"/>
      <c r="C421" s="6"/>
      <c r="D421" s="3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</row>
    <row r="422">
      <c r="A422" s="6"/>
      <c r="B422" s="49"/>
      <c r="C422" s="6"/>
      <c r="D422" s="3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</row>
    <row r="423">
      <c r="A423" s="6"/>
      <c r="B423" s="49"/>
      <c r="C423" s="6"/>
      <c r="D423" s="3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</row>
    <row r="424">
      <c r="A424" s="6"/>
      <c r="B424" s="49"/>
      <c r="C424" s="6"/>
      <c r="D424" s="3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</row>
    <row r="425">
      <c r="A425" s="6"/>
      <c r="B425" s="49"/>
      <c r="C425" s="6"/>
      <c r="D425" s="3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</row>
    <row r="426">
      <c r="A426" s="6"/>
      <c r="B426" s="49"/>
      <c r="C426" s="6"/>
      <c r="D426" s="3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</row>
    <row r="427">
      <c r="A427" s="6"/>
      <c r="B427" s="49"/>
      <c r="C427" s="6"/>
      <c r="D427" s="3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</row>
    <row r="428">
      <c r="A428" s="6"/>
      <c r="B428" s="49"/>
      <c r="C428" s="6"/>
      <c r="D428" s="3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</row>
    <row r="429">
      <c r="A429" s="6"/>
      <c r="B429" s="49"/>
      <c r="C429" s="6"/>
      <c r="D429" s="3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</row>
    <row r="430">
      <c r="A430" s="6"/>
      <c r="B430" s="49"/>
      <c r="C430" s="6"/>
      <c r="D430" s="3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</row>
    <row r="431">
      <c r="A431" s="6"/>
      <c r="B431" s="49"/>
      <c r="C431" s="6"/>
      <c r="D431" s="3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</row>
    <row r="432">
      <c r="A432" s="6"/>
      <c r="B432" s="49"/>
      <c r="C432" s="6"/>
      <c r="D432" s="3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</row>
    <row r="433">
      <c r="A433" s="6"/>
      <c r="B433" s="49"/>
      <c r="C433" s="6"/>
      <c r="D433" s="3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</row>
    <row r="434">
      <c r="A434" s="6"/>
      <c r="B434" s="49"/>
      <c r="C434" s="6"/>
      <c r="D434" s="3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</row>
    <row r="435">
      <c r="A435" s="6"/>
      <c r="B435" s="49"/>
      <c r="C435" s="6"/>
      <c r="D435" s="3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</row>
    <row r="436">
      <c r="A436" s="6"/>
      <c r="B436" s="49"/>
      <c r="C436" s="6"/>
      <c r="D436" s="3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</row>
    <row r="437">
      <c r="A437" s="6"/>
      <c r="B437" s="49"/>
      <c r="C437" s="6"/>
      <c r="D437" s="3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</row>
    <row r="438">
      <c r="A438" s="6"/>
      <c r="B438" s="49"/>
      <c r="C438" s="6"/>
      <c r="D438" s="3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</row>
    <row r="439">
      <c r="A439" s="6"/>
      <c r="B439" s="49"/>
      <c r="C439" s="6"/>
      <c r="D439" s="3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</row>
    <row r="440">
      <c r="A440" s="6"/>
      <c r="B440" s="49"/>
      <c r="C440" s="6"/>
      <c r="D440" s="3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</row>
    <row r="441">
      <c r="A441" s="6"/>
      <c r="B441" s="49"/>
      <c r="C441" s="6"/>
      <c r="D441" s="3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</row>
    <row r="442">
      <c r="A442" s="6"/>
      <c r="B442" s="49"/>
      <c r="C442" s="6"/>
      <c r="D442" s="3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</row>
    <row r="443">
      <c r="A443" s="6"/>
      <c r="B443" s="49"/>
      <c r="C443" s="6"/>
      <c r="D443" s="3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</row>
    <row r="444">
      <c r="A444" s="6"/>
      <c r="B444" s="49"/>
      <c r="C444" s="6"/>
      <c r="D444" s="3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</row>
    <row r="445">
      <c r="A445" s="6"/>
      <c r="B445" s="49"/>
      <c r="C445" s="6"/>
      <c r="D445" s="3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</row>
    <row r="446">
      <c r="A446" s="6"/>
      <c r="B446" s="49"/>
      <c r="C446" s="6"/>
      <c r="D446" s="3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</row>
    <row r="447">
      <c r="A447" s="6"/>
      <c r="B447" s="49"/>
      <c r="C447" s="6"/>
      <c r="D447" s="3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</row>
    <row r="448">
      <c r="A448" s="6"/>
      <c r="B448" s="49"/>
      <c r="C448" s="6"/>
      <c r="D448" s="3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</row>
    <row r="449">
      <c r="A449" s="6"/>
      <c r="B449" s="49"/>
      <c r="C449" s="6"/>
      <c r="D449" s="3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</row>
    <row r="450">
      <c r="A450" s="6"/>
      <c r="B450" s="49"/>
      <c r="C450" s="6"/>
      <c r="D450" s="3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</row>
    <row r="451">
      <c r="A451" s="6"/>
      <c r="B451" s="49"/>
      <c r="C451" s="6"/>
      <c r="D451" s="3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</row>
    <row r="452">
      <c r="A452" s="6"/>
      <c r="B452" s="49"/>
      <c r="C452" s="6"/>
      <c r="D452" s="3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</row>
    <row r="453">
      <c r="A453" s="6"/>
      <c r="B453" s="49"/>
      <c r="C453" s="6"/>
      <c r="D453" s="3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</row>
    <row r="454">
      <c r="A454" s="6"/>
      <c r="B454" s="49"/>
      <c r="C454" s="6"/>
      <c r="D454" s="3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</row>
    <row r="455">
      <c r="A455" s="6"/>
      <c r="B455" s="49"/>
      <c r="C455" s="6"/>
      <c r="D455" s="3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</row>
    <row r="456">
      <c r="A456" s="6"/>
      <c r="B456" s="49"/>
      <c r="C456" s="6"/>
      <c r="D456" s="3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</row>
    <row r="457">
      <c r="A457" s="6"/>
      <c r="B457" s="49"/>
      <c r="C457" s="6"/>
      <c r="D457" s="3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</row>
    <row r="458">
      <c r="A458" s="6"/>
      <c r="B458" s="49"/>
      <c r="C458" s="6"/>
      <c r="D458" s="3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</row>
    <row r="459">
      <c r="A459" s="6"/>
      <c r="B459" s="49"/>
      <c r="C459" s="6"/>
      <c r="D459" s="3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</row>
    <row r="460">
      <c r="A460" s="6"/>
      <c r="B460" s="49"/>
      <c r="C460" s="6"/>
      <c r="D460" s="3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</row>
    <row r="461">
      <c r="A461" s="6"/>
      <c r="B461" s="49"/>
      <c r="C461" s="6"/>
      <c r="D461" s="3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</row>
    <row r="462">
      <c r="A462" s="6"/>
      <c r="B462" s="49"/>
      <c r="C462" s="6"/>
      <c r="D462" s="3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</row>
    <row r="463">
      <c r="A463" s="6"/>
      <c r="B463" s="49"/>
      <c r="C463" s="6"/>
      <c r="D463" s="3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</row>
    <row r="464">
      <c r="A464" s="6"/>
      <c r="B464" s="49"/>
      <c r="C464" s="6"/>
      <c r="D464" s="3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</row>
    <row r="465">
      <c r="A465" s="6"/>
      <c r="B465" s="49"/>
      <c r="C465" s="6"/>
      <c r="D465" s="3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</row>
    <row r="466">
      <c r="A466" s="6"/>
      <c r="B466" s="49"/>
      <c r="C466" s="6"/>
      <c r="D466" s="3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</row>
    <row r="467">
      <c r="A467" s="6"/>
      <c r="B467" s="49"/>
      <c r="C467" s="6"/>
      <c r="D467" s="3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</row>
    <row r="468">
      <c r="A468" s="6"/>
      <c r="B468" s="49"/>
      <c r="C468" s="6"/>
      <c r="D468" s="3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</row>
    <row r="469">
      <c r="A469" s="6"/>
      <c r="B469" s="49"/>
      <c r="C469" s="6"/>
      <c r="D469" s="3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</row>
    <row r="470">
      <c r="A470" s="6"/>
      <c r="B470" s="49"/>
      <c r="C470" s="6"/>
      <c r="D470" s="3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</row>
    <row r="471">
      <c r="A471" s="6"/>
      <c r="B471" s="49"/>
      <c r="C471" s="6"/>
      <c r="D471" s="3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</row>
    <row r="472">
      <c r="A472" s="6"/>
      <c r="B472" s="49"/>
      <c r="C472" s="6"/>
      <c r="D472" s="3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</row>
    <row r="473">
      <c r="A473" s="6"/>
      <c r="B473" s="49"/>
      <c r="C473" s="6"/>
      <c r="D473" s="3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</row>
    <row r="474">
      <c r="A474" s="6"/>
      <c r="B474" s="49"/>
      <c r="C474" s="6"/>
      <c r="D474" s="3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</row>
    <row r="475">
      <c r="A475" s="6"/>
      <c r="B475" s="49"/>
      <c r="C475" s="6"/>
      <c r="D475" s="3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</row>
    <row r="476">
      <c r="A476" s="6"/>
      <c r="B476" s="49"/>
      <c r="C476" s="6"/>
      <c r="D476" s="3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</row>
    <row r="477">
      <c r="A477" s="6"/>
      <c r="B477" s="49"/>
      <c r="C477" s="6"/>
      <c r="D477" s="3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</row>
    <row r="478">
      <c r="A478" s="6"/>
      <c r="B478" s="49"/>
      <c r="C478" s="6"/>
      <c r="D478" s="3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</row>
    <row r="479">
      <c r="A479" s="6"/>
      <c r="B479" s="49"/>
      <c r="C479" s="6"/>
      <c r="D479" s="3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</row>
    <row r="480">
      <c r="A480" s="6"/>
      <c r="B480" s="49"/>
      <c r="C480" s="6"/>
      <c r="D480" s="3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</row>
    <row r="481">
      <c r="A481" s="6"/>
      <c r="B481" s="49"/>
      <c r="C481" s="6"/>
      <c r="D481" s="3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</row>
    <row r="482">
      <c r="A482" s="6"/>
      <c r="B482" s="49"/>
      <c r="C482" s="6"/>
      <c r="D482" s="3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</row>
    <row r="483">
      <c r="A483" s="6"/>
      <c r="B483" s="49"/>
      <c r="C483" s="6"/>
      <c r="D483" s="3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</row>
    <row r="484">
      <c r="A484" s="6"/>
      <c r="B484" s="49"/>
      <c r="C484" s="6"/>
      <c r="D484" s="3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</row>
    <row r="485">
      <c r="A485" s="6"/>
      <c r="B485" s="49"/>
      <c r="C485" s="6"/>
      <c r="D485" s="3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</row>
    <row r="486">
      <c r="A486" s="6"/>
      <c r="B486" s="49"/>
      <c r="C486" s="6"/>
      <c r="D486" s="3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</row>
    <row r="487">
      <c r="A487" s="6"/>
      <c r="B487" s="49"/>
      <c r="C487" s="6"/>
      <c r="D487" s="3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</row>
    <row r="488">
      <c r="A488" s="6"/>
      <c r="B488" s="49"/>
      <c r="C488" s="6"/>
      <c r="D488" s="3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</row>
    <row r="489">
      <c r="A489" s="6"/>
      <c r="B489" s="49"/>
      <c r="C489" s="6"/>
      <c r="D489" s="3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</row>
    <row r="490">
      <c r="A490" s="6"/>
      <c r="B490" s="49"/>
      <c r="C490" s="6"/>
      <c r="D490" s="3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</row>
    <row r="491">
      <c r="A491" s="6"/>
      <c r="B491" s="49"/>
      <c r="C491" s="6"/>
      <c r="D491" s="3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</row>
    <row r="492">
      <c r="A492" s="6"/>
      <c r="B492" s="49"/>
      <c r="C492" s="6"/>
      <c r="D492" s="3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</row>
    <row r="493">
      <c r="A493" s="6"/>
      <c r="B493" s="49"/>
      <c r="C493" s="6"/>
      <c r="D493" s="3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</row>
    <row r="494">
      <c r="A494" s="6"/>
      <c r="B494" s="49"/>
      <c r="C494" s="6"/>
      <c r="D494" s="3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</row>
    <row r="495">
      <c r="A495" s="6"/>
      <c r="B495" s="49"/>
      <c r="C495" s="6"/>
      <c r="D495" s="3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</row>
    <row r="496">
      <c r="A496" s="6"/>
      <c r="B496" s="49"/>
      <c r="C496" s="6"/>
      <c r="D496" s="3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</row>
    <row r="497">
      <c r="A497" s="6"/>
      <c r="B497" s="49"/>
      <c r="C497" s="6"/>
      <c r="D497" s="3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</row>
    <row r="498">
      <c r="A498" s="6"/>
      <c r="B498" s="49"/>
      <c r="C498" s="6"/>
      <c r="D498" s="3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</row>
    <row r="499">
      <c r="A499" s="6"/>
      <c r="B499" s="49"/>
      <c r="C499" s="6"/>
      <c r="D499" s="3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</row>
    <row r="500">
      <c r="A500" s="6"/>
      <c r="B500" s="49"/>
      <c r="C500" s="6"/>
      <c r="D500" s="3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</row>
    <row r="501">
      <c r="A501" s="6"/>
      <c r="B501" s="49"/>
      <c r="C501" s="6"/>
      <c r="D501" s="3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</row>
    <row r="502">
      <c r="A502" s="6"/>
      <c r="B502" s="49"/>
      <c r="C502" s="6"/>
      <c r="D502" s="3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</row>
    <row r="503">
      <c r="A503" s="6"/>
      <c r="B503" s="49"/>
      <c r="C503" s="6"/>
      <c r="D503" s="3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</row>
    <row r="504">
      <c r="A504" s="6"/>
      <c r="B504" s="49"/>
      <c r="C504" s="6"/>
      <c r="D504" s="3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</row>
    <row r="505">
      <c r="A505" s="6"/>
      <c r="B505" s="49"/>
      <c r="C505" s="6"/>
      <c r="D505" s="3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</row>
    <row r="506">
      <c r="A506" s="6"/>
      <c r="B506" s="49"/>
      <c r="C506" s="6"/>
      <c r="D506" s="3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</row>
    <row r="507">
      <c r="A507" s="6"/>
      <c r="B507" s="49"/>
      <c r="C507" s="6"/>
      <c r="D507" s="3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</row>
    <row r="508">
      <c r="A508" s="6"/>
      <c r="B508" s="49"/>
      <c r="C508" s="6"/>
      <c r="D508" s="3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</row>
    <row r="509">
      <c r="A509" s="6"/>
      <c r="B509" s="49"/>
      <c r="C509" s="6"/>
      <c r="D509" s="3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</row>
    <row r="510">
      <c r="A510" s="6"/>
      <c r="B510" s="49"/>
      <c r="C510" s="6"/>
      <c r="D510" s="3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</row>
    <row r="511">
      <c r="A511" s="6"/>
      <c r="B511" s="49"/>
      <c r="C511" s="6"/>
      <c r="D511" s="3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</row>
    <row r="512">
      <c r="A512" s="6"/>
      <c r="B512" s="49"/>
      <c r="C512" s="6"/>
      <c r="D512" s="3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</row>
    <row r="513">
      <c r="A513" s="6"/>
      <c r="B513" s="49"/>
      <c r="C513" s="6"/>
      <c r="D513" s="3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</row>
    <row r="514">
      <c r="A514" s="6"/>
      <c r="B514" s="49"/>
      <c r="C514" s="6"/>
      <c r="D514" s="3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</row>
    <row r="515">
      <c r="A515" s="6"/>
      <c r="B515" s="49"/>
      <c r="C515" s="6"/>
      <c r="D515" s="3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</row>
    <row r="516">
      <c r="A516" s="6"/>
      <c r="B516" s="49"/>
      <c r="C516" s="6"/>
      <c r="D516" s="3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</row>
    <row r="517">
      <c r="A517" s="6"/>
      <c r="B517" s="49"/>
      <c r="C517" s="6"/>
      <c r="D517" s="3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</row>
    <row r="518">
      <c r="A518" s="6"/>
      <c r="B518" s="49"/>
      <c r="C518" s="6"/>
      <c r="D518" s="3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</row>
    <row r="519">
      <c r="A519" s="6"/>
      <c r="B519" s="49"/>
      <c r="C519" s="6"/>
      <c r="D519" s="3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</row>
    <row r="520">
      <c r="A520" s="6"/>
      <c r="B520" s="49"/>
      <c r="C520" s="6"/>
      <c r="D520" s="3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</row>
    <row r="521">
      <c r="A521" s="6"/>
      <c r="B521" s="49"/>
      <c r="C521" s="6"/>
      <c r="D521" s="3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</row>
    <row r="522">
      <c r="A522" s="6"/>
      <c r="B522" s="49"/>
      <c r="C522" s="6"/>
      <c r="D522" s="3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</row>
    <row r="523">
      <c r="A523" s="6"/>
      <c r="B523" s="49"/>
      <c r="C523" s="6"/>
      <c r="D523" s="3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</row>
    <row r="524">
      <c r="A524" s="6"/>
      <c r="B524" s="49"/>
      <c r="C524" s="6"/>
      <c r="D524" s="3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</row>
    <row r="525">
      <c r="A525" s="6"/>
      <c r="B525" s="49"/>
      <c r="C525" s="6"/>
      <c r="D525" s="3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</row>
    <row r="526">
      <c r="A526" s="6"/>
      <c r="B526" s="49"/>
      <c r="C526" s="6"/>
      <c r="D526" s="3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</row>
    <row r="527">
      <c r="A527" s="6"/>
      <c r="B527" s="49"/>
      <c r="C527" s="6"/>
      <c r="D527" s="3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</row>
    <row r="528">
      <c r="A528" s="6"/>
      <c r="B528" s="49"/>
      <c r="C528" s="6"/>
      <c r="D528" s="3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</row>
    <row r="529">
      <c r="A529" s="6"/>
      <c r="B529" s="49"/>
      <c r="C529" s="6"/>
      <c r="D529" s="3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</row>
    <row r="530">
      <c r="A530" s="6"/>
      <c r="B530" s="49"/>
      <c r="C530" s="6"/>
      <c r="D530" s="3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</row>
    <row r="531">
      <c r="A531" s="6"/>
      <c r="B531" s="49"/>
      <c r="C531" s="6"/>
      <c r="D531" s="3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</row>
    <row r="532">
      <c r="A532" s="6"/>
      <c r="B532" s="49"/>
      <c r="C532" s="6"/>
      <c r="D532" s="3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</row>
    <row r="533">
      <c r="A533" s="6"/>
      <c r="B533" s="49"/>
      <c r="C533" s="6"/>
      <c r="D533" s="3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</row>
    <row r="534">
      <c r="A534" s="6"/>
      <c r="B534" s="49"/>
      <c r="C534" s="6"/>
      <c r="D534" s="3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</row>
    <row r="535">
      <c r="A535" s="6"/>
      <c r="B535" s="49"/>
      <c r="C535" s="6"/>
      <c r="D535" s="3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</row>
    <row r="536">
      <c r="A536" s="6"/>
      <c r="B536" s="49"/>
      <c r="C536" s="6"/>
      <c r="D536" s="3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</row>
    <row r="537">
      <c r="A537" s="6"/>
      <c r="B537" s="49"/>
      <c r="C537" s="6"/>
      <c r="D537" s="3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</row>
    <row r="538">
      <c r="A538" s="6"/>
      <c r="B538" s="49"/>
      <c r="C538" s="6"/>
      <c r="D538" s="3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</row>
    <row r="539">
      <c r="A539" s="6"/>
      <c r="B539" s="49"/>
      <c r="C539" s="6"/>
      <c r="D539" s="3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</row>
    <row r="540">
      <c r="A540" s="6"/>
      <c r="B540" s="49"/>
      <c r="C540" s="6"/>
      <c r="D540" s="3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</row>
    <row r="541">
      <c r="A541" s="6"/>
      <c r="B541" s="49"/>
      <c r="C541" s="6"/>
      <c r="D541" s="3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</row>
    <row r="542">
      <c r="A542" s="6"/>
      <c r="B542" s="49"/>
      <c r="C542" s="6"/>
      <c r="D542" s="3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</row>
    <row r="543">
      <c r="A543" s="6"/>
      <c r="B543" s="49"/>
      <c r="C543" s="6"/>
      <c r="D543" s="3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</row>
    <row r="544">
      <c r="A544" s="6"/>
      <c r="B544" s="49"/>
      <c r="C544" s="6"/>
      <c r="D544" s="3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</row>
    <row r="545">
      <c r="A545" s="6"/>
      <c r="B545" s="49"/>
      <c r="C545" s="6"/>
      <c r="D545" s="3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</row>
    <row r="546">
      <c r="A546" s="6"/>
      <c r="B546" s="49"/>
      <c r="C546" s="6"/>
      <c r="D546" s="3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</row>
    <row r="547">
      <c r="A547" s="6"/>
      <c r="B547" s="49"/>
      <c r="C547" s="6"/>
      <c r="D547" s="3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</row>
    <row r="548">
      <c r="A548" s="6"/>
      <c r="B548" s="49"/>
      <c r="C548" s="6"/>
      <c r="D548" s="3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</row>
    <row r="549">
      <c r="A549" s="6"/>
      <c r="B549" s="49"/>
      <c r="C549" s="6"/>
      <c r="D549" s="3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</row>
    <row r="550">
      <c r="A550" s="6"/>
      <c r="B550" s="49"/>
      <c r="C550" s="6"/>
      <c r="D550" s="3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</row>
    <row r="551">
      <c r="A551" s="6"/>
      <c r="B551" s="49"/>
      <c r="C551" s="6"/>
      <c r="D551" s="3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</row>
    <row r="552">
      <c r="A552" s="6"/>
      <c r="B552" s="49"/>
      <c r="C552" s="6"/>
      <c r="D552" s="3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</row>
    <row r="553">
      <c r="A553" s="6"/>
      <c r="B553" s="49"/>
      <c r="C553" s="6"/>
      <c r="D553" s="3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</row>
    <row r="554">
      <c r="A554" s="6"/>
      <c r="B554" s="49"/>
      <c r="C554" s="6"/>
      <c r="D554" s="3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</row>
    <row r="555">
      <c r="A555" s="6"/>
      <c r="B555" s="49"/>
      <c r="C555" s="6"/>
      <c r="D555" s="3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</row>
    <row r="556">
      <c r="A556" s="6"/>
      <c r="B556" s="49"/>
      <c r="C556" s="6"/>
      <c r="D556" s="3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</row>
    <row r="557">
      <c r="A557" s="6"/>
      <c r="B557" s="49"/>
      <c r="C557" s="6"/>
      <c r="D557" s="3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</row>
    <row r="558">
      <c r="A558" s="6"/>
      <c r="B558" s="49"/>
      <c r="C558" s="6"/>
      <c r="D558" s="3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</row>
    <row r="559">
      <c r="A559" s="6"/>
      <c r="B559" s="49"/>
      <c r="C559" s="6"/>
      <c r="D559" s="3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</row>
    <row r="560">
      <c r="A560" s="6"/>
      <c r="B560" s="49"/>
      <c r="C560" s="6"/>
      <c r="D560" s="3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</row>
    <row r="561">
      <c r="A561" s="6"/>
      <c r="B561" s="49"/>
      <c r="C561" s="6"/>
      <c r="D561" s="3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</row>
    <row r="562">
      <c r="A562" s="6"/>
      <c r="B562" s="49"/>
      <c r="C562" s="6"/>
      <c r="D562" s="3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</row>
    <row r="563">
      <c r="A563" s="6"/>
      <c r="B563" s="49"/>
      <c r="C563" s="6"/>
      <c r="D563" s="3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</row>
    <row r="564">
      <c r="A564" s="6"/>
      <c r="B564" s="49"/>
      <c r="C564" s="6"/>
      <c r="D564" s="3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</row>
    <row r="565">
      <c r="A565" s="6"/>
      <c r="B565" s="49"/>
      <c r="C565" s="6"/>
      <c r="D565" s="3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</row>
    <row r="566">
      <c r="A566" s="6"/>
      <c r="B566" s="49"/>
      <c r="C566" s="6"/>
      <c r="D566" s="3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</row>
    <row r="567">
      <c r="A567" s="6"/>
      <c r="B567" s="49"/>
      <c r="C567" s="6"/>
      <c r="D567" s="3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</row>
    <row r="568">
      <c r="A568" s="6"/>
      <c r="B568" s="49"/>
      <c r="C568" s="6"/>
      <c r="D568" s="3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</row>
    <row r="569">
      <c r="A569" s="6"/>
      <c r="B569" s="49"/>
      <c r="C569" s="6"/>
      <c r="D569" s="3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</row>
    <row r="570">
      <c r="A570" s="6"/>
      <c r="B570" s="49"/>
      <c r="C570" s="6"/>
      <c r="D570" s="3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</row>
    <row r="571">
      <c r="A571" s="6"/>
      <c r="B571" s="49"/>
      <c r="C571" s="6"/>
      <c r="D571" s="3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</row>
    <row r="572">
      <c r="A572" s="6"/>
      <c r="B572" s="49"/>
      <c r="C572" s="6"/>
      <c r="D572" s="3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</row>
    <row r="573">
      <c r="A573" s="6"/>
      <c r="B573" s="49"/>
      <c r="C573" s="6"/>
      <c r="D573" s="3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</row>
    <row r="574">
      <c r="A574" s="6"/>
      <c r="B574" s="49"/>
      <c r="C574" s="6"/>
      <c r="D574" s="3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</row>
    <row r="575">
      <c r="A575" s="6"/>
      <c r="B575" s="49"/>
      <c r="C575" s="6"/>
      <c r="D575" s="3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</row>
    <row r="576">
      <c r="A576" s="6"/>
      <c r="B576" s="49"/>
      <c r="C576" s="6"/>
      <c r="D576" s="3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</row>
    <row r="577">
      <c r="A577" s="6"/>
      <c r="B577" s="49"/>
      <c r="C577" s="6"/>
      <c r="D577" s="3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</row>
    <row r="578">
      <c r="A578" s="6"/>
      <c r="B578" s="49"/>
      <c r="C578" s="6"/>
      <c r="D578" s="3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</row>
    <row r="579">
      <c r="A579" s="6"/>
      <c r="B579" s="49"/>
      <c r="C579" s="6"/>
      <c r="D579" s="3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</row>
    <row r="580">
      <c r="A580" s="6"/>
      <c r="B580" s="49"/>
      <c r="C580" s="6"/>
      <c r="D580" s="3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</row>
    <row r="581">
      <c r="A581" s="6"/>
      <c r="B581" s="49"/>
      <c r="C581" s="6"/>
      <c r="D581" s="3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</row>
    <row r="582">
      <c r="A582" s="6"/>
      <c r="B582" s="49"/>
      <c r="C582" s="6"/>
      <c r="D582" s="3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</row>
    <row r="583">
      <c r="A583" s="6"/>
      <c r="B583" s="49"/>
      <c r="C583" s="6"/>
      <c r="D583" s="3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</row>
    <row r="584">
      <c r="A584" s="6"/>
      <c r="B584" s="49"/>
      <c r="C584" s="6"/>
      <c r="D584" s="3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</row>
    <row r="585">
      <c r="A585" s="6"/>
      <c r="B585" s="49"/>
      <c r="C585" s="6"/>
      <c r="D585" s="3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</row>
    <row r="586">
      <c r="A586" s="6"/>
      <c r="B586" s="49"/>
      <c r="C586" s="6"/>
      <c r="D586" s="3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</row>
    <row r="587">
      <c r="A587" s="6"/>
      <c r="B587" s="49"/>
      <c r="C587" s="6"/>
      <c r="D587" s="3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</row>
    <row r="588">
      <c r="A588" s="6"/>
      <c r="B588" s="49"/>
      <c r="C588" s="6"/>
      <c r="D588" s="3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</row>
    <row r="589">
      <c r="A589" s="6"/>
      <c r="B589" s="49"/>
      <c r="C589" s="6"/>
      <c r="D589" s="3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</row>
    <row r="590">
      <c r="A590" s="6"/>
      <c r="B590" s="49"/>
      <c r="C590" s="6"/>
      <c r="D590" s="3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</row>
    <row r="591">
      <c r="A591" s="6"/>
      <c r="B591" s="49"/>
      <c r="C591" s="6"/>
      <c r="D591" s="3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</row>
    <row r="592">
      <c r="A592" s="6"/>
      <c r="B592" s="49"/>
      <c r="C592" s="6"/>
      <c r="D592" s="3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</row>
    <row r="593">
      <c r="A593" s="6"/>
      <c r="B593" s="49"/>
      <c r="C593" s="6"/>
      <c r="D593" s="3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</row>
    <row r="594">
      <c r="A594" s="6"/>
      <c r="B594" s="49"/>
      <c r="C594" s="6"/>
      <c r="D594" s="3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</row>
    <row r="595">
      <c r="A595" s="6"/>
      <c r="B595" s="49"/>
      <c r="C595" s="6"/>
      <c r="D595" s="3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</row>
    <row r="596">
      <c r="A596" s="6"/>
      <c r="B596" s="49"/>
      <c r="C596" s="6"/>
      <c r="D596" s="3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</row>
    <row r="597">
      <c r="A597" s="6"/>
      <c r="B597" s="49"/>
      <c r="C597" s="6"/>
      <c r="D597" s="3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</row>
    <row r="598">
      <c r="A598" s="6"/>
      <c r="B598" s="49"/>
      <c r="C598" s="6"/>
      <c r="D598" s="3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</row>
    <row r="599">
      <c r="A599" s="6"/>
      <c r="B599" s="49"/>
      <c r="C599" s="6"/>
      <c r="D599" s="3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</row>
    <row r="600">
      <c r="A600" s="6"/>
      <c r="B600" s="49"/>
      <c r="C600" s="6"/>
      <c r="D600" s="3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</row>
    <row r="601">
      <c r="A601" s="6"/>
      <c r="B601" s="49"/>
      <c r="C601" s="6"/>
      <c r="D601" s="3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</row>
    <row r="602">
      <c r="A602" s="6"/>
      <c r="B602" s="49"/>
      <c r="C602" s="6"/>
      <c r="D602" s="3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</row>
    <row r="603">
      <c r="A603" s="6"/>
      <c r="B603" s="49"/>
      <c r="C603" s="6"/>
      <c r="D603" s="3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</row>
    <row r="604">
      <c r="A604" s="6"/>
      <c r="B604" s="49"/>
      <c r="C604" s="6"/>
      <c r="D604" s="3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</row>
    <row r="605">
      <c r="A605" s="6"/>
      <c r="B605" s="49"/>
      <c r="C605" s="6"/>
      <c r="D605" s="3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</row>
    <row r="606">
      <c r="A606" s="6"/>
      <c r="B606" s="49"/>
      <c r="C606" s="6"/>
      <c r="D606" s="3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</row>
    <row r="607">
      <c r="A607" s="6"/>
      <c r="B607" s="49"/>
      <c r="C607" s="6"/>
      <c r="D607" s="3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</row>
    <row r="608">
      <c r="A608" s="6"/>
      <c r="B608" s="49"/>
      <c r="C608" s="6"/>
      <c r="D608" s="3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</row>
    <row r="609">
      <c r="A609" s="6"/>
      <c r="B609" s="49"/>
      <c r="C609" s="6"/>
      <c r="D609" s="3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</row>
    <row r="610">
      <c r="A610" s="6"/>
      <c r="B610" s="49"/>
      <c r="C610" s="6"/>
      <c r="D610" s="3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</row>
    <row r="611">
      <c r="A611" s="6"/>
      <c r="B611" s="49"/>
      <c r="C611" s="6"/>
      <c r="D611" s="3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</row>
    <row r="612">
      <c r="A612" s="6"/>
      <c r="B612" s="49"/>
      <c r="C612" s="6"/>
      <c r="D612" s="3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</row>
    <row r="613">
      <c r="A613" s="6"/>
      <c r="B613" s="49"/>
      <c r="C613" s="6"/>
      <c r="D613" s="3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</row>
    <row r="614">
      <c r="A614" s="6"/>
      <c r="B614" s="49"/>
      <c r="C614" s="6"/>
      <c r="D614" s="3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</row>
    <row r="615">
      <c r="A615" s="6"/>
      <c r="B615" s="49"/>
      <c r="C615" s="6"/>
      <c r="D615" s="3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</row>
    <row r="616">
      <c r="A616" s="6"/>
      <c r="B616" s="49"/>
      <c r="C616" s="6"/>
      <c r="D616" s="3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</row>
    <row r="617">
      <c r="A617" s="6"/>
      <c r="B617" s="49"/>
      <c r="C617" s="6"/>
      <c r="D617" s="3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</row>
    <row r="618">
      <c r="A618" s="6"/>
      <c r="B618" s="49"/>
      <c r="C618" s="6"/>
      <c r="D618" s="3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</row>
    <row r="619">
      <c r="A619" s="6"/>
      <c r="B619" s="49"/>
      <c r="C619" s="6"/>
      <c r="D619" s="3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</row>
    <row r="620">
      <c r="A620" s="6"/>
      <c r="B620" s="49"/>
      <c r="C620" s="6"/>
      <c r="D620" s="3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</row>
    <row r="621">
      <c r="A621" s="6"/>
      <c r="B621" s="49"/>
      <c r="C621" s="6"/>
      <c r="D621" s="3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</row>
    <row r="622">
      <c r="A622" s="6"/>
      <c r="B622" s="49"/>
      <c r="C622" s="6"/>
      <c r="D622" s="3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</row>
    <row r="623">
      <c r="A623" s="6"/>
      <c r="B623" s="49"/>
      <c r="C623" s="6"/>
      <c r="D623" s="3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</row>
    <row r="624">
      <c r="A624" s="6"/>
      <c r="B624" s="49"/>
      <c r="C624" s="6"/>
      <c r="D624" s="3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</row>
    <row r="625">
      <c r="A625" s="6"/>
      <c r="B625" s="49"/>
      <c r="C625" s="6"/>
      <c r="D625" s="3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</row>
    <row r="626">
      <c r="A626" s="6"/>
      <c r="B626" s="49"/>
      <c r="C626" s="6"/>
      <c r="D626" s="3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</row>
    <row r="627">
      <c r="A627" s="6"/>
      <c r="B627" s="49"/>
      <c r="C627" s="6"/>
      <c r="D627" s="3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</row>
    <row r="628">
      <c r="A628" s="6"/>
      <c r="B628" s="49"/>
      <c r="C628" s="6"/>
      <c r="D628" s="3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</row>
    <row r="629">
      <c r="A629" s="6"/>
      <c r="B629" s="49"/>
      <c r="C629" s="6"/>
      <c r="D629" s="3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</row>
    <row r="630">
      <c r="A630" s="6"/>
      <c r="B630" s="49"/>
      <c r="C630" s="6"/>
      <c r="D630" s="3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</row>
    <row r="631">
      <c r="A631" s="6"/>
      <c r="B631" s="49"/>
      <c r="C631" s="6"/>
      <c r="D631" s="3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</row>
    <row r="632">
      <c r="A632" s="6"/>
      <c r="B632" s="49"/>
      <c r="C632" s="6"/>
      <c r="D632" s="3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</row>
    <row r="633">
      <c r="A633" s="6"/>
      <c r="B633" s="49"/>
      <c r="C633" s="6"/>
      <c r="D633" s="3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</row>
    <row r="634">
      <c r="A634" s="6"/>
      <c r="B634" s="49"/>
      <c r="C634" s="6"/>
      <c r="D634" s="3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</row>
    <row r="635">
      <c r="A635" s="6"/>
      <c r="B635" s="49"/>
      <c r="C635" s="6"/>
      <c r="D635" s="3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</row>
    <row r="636">
      <c r="A636" s="6"/>
      <c r="B636" s="49"/>
      <c r="C636" s="6"/>
      <c r="D636" s="3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</row>
    <row r="637">
      <c r="A637" s="6"/>
      <c r="B637" s="49"/>
      <c r="C637" s="6"/>
      <c r="D637" s="3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</row>
    <row r="638">
      <c r="A638" s="6"/>
      <c r="B638" s="49"/>
      <c r="C638" s="6"/>
      <c r="D638" s="3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</row>
    <row r="639">
      <c r="A639" s="6"/>
      <c r="B639" s="49"/>
      <c r="C639" s="6"/>
      <c r="D639" s="3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</row>
    <row r="640">
      <c r="A640" s="6"/>
      <c r="B640" s="49"/>
      <c r="C640" s="6"/>
      <c r="D640" s="3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</row>
    <row r="641">
      <c r="A641" s="6"/>
      <c r="B641" s="49"/>
      <c r="C641" s="6"/>
      <c r="D641" s="3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</row>
    <row r="642">
      <c r="A642" s="6"/>
      <c r="B642" s="49"/>
      <c r="C642" s="6"/>
      <c r="D642" s="3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</row>
    <row r="643">
      <c r="A643" s="6"/>
      <c r="B643" s="49"/>
      <c r="C643" s="6"/>
      <c r="D643" s="3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</row>
    <row r="644">
      <c r="A644" s="6"/>
      <c r="B644" s="49"/>
      <c r="C644" s="6"/>
      <c r="D644" s="3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</row>
    <row r="645">
      <c r="A645" s="6"/>
      <c r="B645" s="49"/>
      <c r="C645" s="6"/>
      <c r="D645" s="3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</row>
    <row r="646">
      <c r="A646" s="6"/>
      <c r="B646" s="49"/>
      <c r="C646" s="6"/>
      <c r="D646" s="3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</row>
    <row r="647">
      <c r="A647" s="6"/>
      <c r="B647" s="49"/>
      <c r="C647" s="6"/>
      <c r="D647" s="3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</row>
    <row r="648">
      <c r="A648" s="6"/>
      <c r="B648" s="49"/>
      <c r="C648" s="6"/>
      <c r="D648" s="3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</row>
    <row r="649">
      <c r="A649" s="6"/>
      <c r="B649" s="49"/>
      <c r="C649" s="6"/>
      <c r="D649" s="3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</row>
    <row r="650">
      <c r="A650" s="6"/>
      <c r="B650" s="49"/>
      <c r="C650" s="6"/>
      <c r="D650" s="3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</row>
    <row r="651">
      <c r="A651" s="6"/>
      <c r="B651" s="49"/>
      <c r="C651" s="6"/>
      <c r="D651" s="3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</row>
    <row r="652">
      <c r="A652" s="6"/>
      <c r="B652" s="49"/>
      <c r="C652" s="6"/>
      <c r="D652" s="3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</row>
    <row r="653">
      <c r="A653" s="6"/>
      <c r="B653" s="49"/>
      <c r="C653" s="6"/>
      <c r="D653" s="3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</row>
    <row r="654">
      <c r="A654" s="6"/>
      <c r="B654" s="49"/>
      <c r="C654" s="6"/>
      <c r="D654" s="3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</row>
    <row r="655">
      <c r="A655" s="6"/>
      <c r="B655" s="49"/>
      <c r="C655" s="6"/>
      <c r="D655" s="3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</row>
    <row r="656">
      <c r="A656" s="6"/>
      <c r="B656" s="49"/>
      <c r="C656" s="6"/>
      <c r="D656" s="3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</row>
    <row r="657">
      <c r="A657" s="6"/>
      <c r="B657" s="49"/>
      <c r="C657" s="6"/>
      <c r="D657" s="3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</row>
    <row r="658">
      <c r="A658" s="6"/>
      <c r="B658" s="49"/>
      <c r="C658" s="6"/>
      <c r="D658" s="3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</row>
    <row r="659">
      <c r="A659" s="6"/>
      <c r="B659" s="49"/>
      <c r="C659" s="6"/>
      <c r="D659" s="3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</row>
    <row r="660">
      <c r="A660" s="6"/>
      <c r="B660" s="49"/>
      <c r="C660" s="6"/>
      <c r="D660" s="3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</row>
    <row r="661">
      <c r="A661" s="6"/>
      <c r="B661" s="49"/>
      <c r="C661" s="6"/>
      <c r="D661" s="3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</row>
    <row r="662">
      <c r="A662" s="6"/>
      <c r="B662" s="49"/>
      <c r="C662" s="6"/>
      <c r="D662" s="3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</row>
    <row r="663">
      <c r="A663" s="6"/>
      <c r="B663" s="49"/>
      <c r="C663" s="6"/>
      <c r="D663" s="3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</row>
    <row r="664">
      <c r="A664" s="6"/>
      <c r="B664" s="49"/>
      <c r="C664" s="6"/>
      <c r="D664" s="3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</row>
    <row r="665">
      <c r="A665" s="6"/>
      <c r="B665" s="49"/>
      <c r="C665" s="6"/>
      <c r="D665" s="3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</row>
    <row r="666">
      <c r="A666" s="6"/>
      <c r="B666" s="49"/>
      <c r="C666" s="6"/>
      <c r="D666" s="3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</row>
    <row r="667">
      <c r="A667" s="6"/>
      <c r="B667" s="49"/>
      <c r="C667" s="6"/>
      <c r="D667" s="3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</row>
    <row r="668">
      <c r="A668" s="6"/>
      <c r="B668" s="49"/>
      <c r="C668" s="6"/>
      <c r="D668" s="3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</row>
    <row r="669">
      <c r="A669" s="6"/>
      <c r="B669" s="49"/>
      <c r="C669" s="6"/>
      <c r="D669" s="3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</row>
    <row r="670">
      <c r="A670" s="6"/>
      <c r="B670" s="49"/>
      <c r="C670" s="6"/>
      <c r="D670" s="3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</row>
    <row r="671">
      <c r="A671" s="6"/>
      <c r="B671" s="49"/>
      <c r="C671" s="6"/>
      <c r="D671" s="3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</row>
    <row r="672">
      <c r="A672" s="6"/>
      <c r="B672" s="49"/>
      <c r="C672" s="6"/>
      <c r="D672" s="3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</row>
    <row r="673">
      <c r="A673" s="6"/>
      <c r="B673" s="49"/>
      <c r="C673" s="6"/>
      <c r="D673" s="3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</row>
    <row r="674">
      <c r="A674" s="6"/>
      <c r="B674" s="49"/>
      <c r="C674" s="6"/>
      <c r="D674" s="3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</row>
    <row r="675">
      <c r="A675" s="6"/>
      <c r="B675" s="49"/>
      <c r="C675" s="6"/>
      <c r="D675" s="3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</row>
    <row r="676">
      <c r="A676" s="6"/>
      <c r="B676" s="49"/>
      <c r="C676" s="6"/>
      <c r="D676" s="3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</row>
    <row r="677">
      <c r="A677" s="6"/>
      <c r="B677" s="49"/>
      <c r="C677" s="6"/>
      <c r="D677" s="3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</row>
    <row r="678">
      <c r="A678" s="6"/>
      <c r="B678" s="49"/>
      <c r="C678" s="6"/>
      <c r="D678" s="3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</row>
    <row r="679">
      <c r="A679" s="6"/>
      <c r="B679" s="49"/>
      <c r="C679" s="6"/>
      <c r="D679" s="3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</row>
    <row r="680">
      <c r="A680" s="6"/>
      <c r="B680" s="49"/>
      <c r="C680" s="6"/>
      <c r="D680" s="3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</row>
    <row r="681">
      <c r="A681" s="6"/>
      <c r="B681" s="49"/>
      <c r="C681" s="6"/>
      <c r="D681" s="3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</row>
    <row r="682">
      <c r="A682" s="6"/>
      <c r="B682" s="49"/>
      <c r="C682" s="6"/>
      <c r="D682" s="3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</row>
    <row r="683">
      <c r="A683" s="6"/>
      <c r="B683" s="49"/>
      <c r="C683" s="6"/>
      <c r="D683" s="3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</row>
    <row r="684">
      <c r="A684" s="6"/>
      <c r="B684" s="49"/>
      <c r="C684" s="6"/>
      <c r="D684" s="3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</row>
    <row r="685">
      <c r="A685" s="6"/>
      <c r="B685" s="49"/>
      <c r="C685" s="6"/>
      <c r="D685" s="3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</row>
    <row r="686">
      <c r="A686" s="6"/>
      <c r="B686" s="49"/>
      <c r="C686" s="6"/>
      <c r="D686" s="3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</row>
    <row r="687">
      <c r="A687" s="6"/>
      <c r="B687" s="49"/>
      <c r="C687" s="6"/>
      <c r="D687" s="3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</row>
    <row r="688">
      <c r="A688" s="6"/>
      <c r="B688" s="49"/>
      <c r="C688" s="6"/>
      <c r="D688" s="3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</row>
    <row r="689">
      <c r="A689" s="6"/>
      <c r="B689" s="49"/>
      <c r="C689" s="6"/>
      <c r="D689" s="3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</row>
    <row r="690">
      <c r="A690" s="6"/>
      <c r="B690" s="49"/>
      <c r="C690" s="6"/>
      <c r="D690" s="3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</row>
    <row r="691">
      <c r="A691" s="6"/>
      <c r="B691" s="49"/>
      <c r="C691" s="6"/>
      <c r="D691" s="3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</row>
    <row r="692">
      <c r="A692" s="6"/>
      <c r="B692" s="49"/>
      <c r="C692" s="6"/>
      <c r="D692" s="3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</row>
    <row r="693">
      <c r="A693" s="6"/>
      <c r="B693" s="49"/>
      <c r="C693" s="6"/>
      <c r="D693" s="3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</row>
    <row r="694">
      <c r="A694" s="6"/>
      <c r="B694" s="49"/>
      <c r="C694" s="6"/>
      <c r="D694" s="3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</row>
    <row r="695">
      <c r="A695" s="6"/>
      <c r="B695" s="49"/>
      <c r="C695" s="6"/>
      <c r="D695" s="3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</row>
    <row r="696">
      <c r="A696" s="6"/>
      <c r="B696" s="49"/>
      <c r="C696" s="6"/>
      <c r="D696" s="3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</row>
    <row r="697">
      <c r="A697" s="6"/>
      <c r="B697" s="49"/>
      <c r="C697" s="6"/>
      <c r="D697" s="3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</row>
    <row r="698">
      <c r="A698" s="6"/>
      <c r="B698" s="49"/>
      <c r="C698" s="6"/>
      <c r="D698" s="3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</row>
    <row r="699">
      <c r="A699" s="6"/>
      <c r="B699" s="49"/>
      <c r="C699" s="6"/>
      <c r="D699" s="3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</row>
    <row r="700">
      <c r="A700" s="6"/>
      <c r="B700" s="49"/>
      <c r="C700" s="6"/>
      <c r="D700" s="3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</row>
    <row r="701">
      <c r="A701" s="6"/>
      <c r="B701" s="49"/>
      <c r="C701" s="6"/>
      <c r="D701" s="3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</row>
    <row r="702">
      <c r="A702" s="6"/>
      <c r="B702" s="49"/>
      <c r="C702" s="6"/>
      <c r="D702" s="3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</row>
    <row r="703">
      <c r="A703" s="6"/>
      <c r="B703" s="49"/>
      <c r="C703" s="6"/>
      <c r="D703" s="3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</row>
    <row r="704">
      <c r="A704" s="6"/>
      <c r="B704" s="49"/>
      <c r="C704" s="6"/>
      <c r="D704" s="3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</row>
    <row r="705">
      <c r="A705" s="6"/>
      <c r="B705" s="49"/>
      <c r="C705" s="6"/>
      <c r="D705" s="3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</row>
    <row r="706">
      <c r="A706" s="6"/>
      <c r="B706" s="49"/>
      <c r="C706" s="6"/>
      <c r="D706" s="3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</row>
    <row r="707">
      <c r="A707" s="6"/>
      <c r="B707" s="49"/>
      <c r="C707" s="6"/>
      <c r="D707" s="3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</row>
    <row r="708">
      <c r="A708" s="6"/>
      <c r="B708" s="49"/>
      <c r="C708" s="6"/>
      <c r="D708" s="3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</row>
    <row r="709">
      <c r="A709" s="6"/>
      <c r="B709" s="49"/>
      <c r="C709" s="6"/>
      <c r="D709" s="3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</row>
    <row r="710">
      <c r="A710" s="6"/>
      <c r="B710" s="49"/>
      <c r="C710" s="6"/>
      <c r="D710" s="3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</row>
    <row r="711">
      <c r="A711" s="6"/>
      <c r="B711" s="49"/>
      <c r="C711" s="6"/>
      <c r="D711" s="3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</row>
    <row r="712">
      <c r="A712" s="6"/>
      <c r="B712" s="49"/>
      <c r="C712" s="6"/>
      <c r="D712" s="3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</row>
    <row r="713">
      <c r="A713" s="6"/>
      <c r="B713" s="49"/>
      <c r="C713" s="6"/>
      <c r="D713" s="3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</row>
    <row r="714">
      <c r="A714" s="6"/>
      <c r="B714" s="49"/>
      <c r="C714" s="6"/>
      <c r="D714" s="3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</row>
    <row r="715">
      <c r="A715" s="6"/>
      <c r="B715" s="49"/>
      <c r="C715" s="6"/>
      <c r="D715" s="3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</row>
    <row r="716">
      <c r="A716" s="6"/>
      <c r="B716" s="49"/>
      <c r="C716" s="6"/>
      <c r="D716" s="3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</row>
    <row r="717">
      <c r="A717" s="6"/>
      <c r="B717" s="49"/>
      <c r="C717" s="6"/>
      <c r="D717" s="3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</row>
    <row r="718">
      <c r="A718" s="6"/>
      <c r="B718" s="49"/>
      <c r="C718" s="6"/>
      <c r="D718" s="3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</row>
    <row r="719">
      <c r="A719" s="6"/>
      <c r="B719" s="49"/>
      <c r="C719" s="6"/>
      <c r="D719" s="3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</row>
    <row r="720">
      <c r="A720" s="6"/>
      <c r="B720" s="49"/>
      <c r="C720" s="6"/>
      <c r="D720" s="3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</row>
    <row r="721">
      <c r="A721" s="6"/>
      <c r="B721" s="49"/>
      <c r="C721" s="6"/>
      <c r="D721" s="3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</row>
    <row r="722">
      <c r="A722" s="6"/>
      <c r="B722" s="49"/>
      <c r="C722" s="6"/>
      <c r="D722" s="3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</row>
    <row r="723">
      <c r="A723" s="6"/>
      <c r="B723" s="49"/>
      <c r="C723" s="6"/>
      <c r="D723" s="3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</row>
    <row r="724">
      <c r="A724" s="6"/>
      <c r="B724" s="49"/>
      <c r="C724" s="6"/>
      <c r="D724" s="3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</row>
    <row r="725">
      <c r="A725" s="6"/>
      <c r="B725" s="49"/>
      <c r="C725" s="6"/>
      <c r="D725" s="3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</row>
    <row r="726">
      <c r="A726" s="6"/>
      <c r="B726" s="49"/>
      <c r="C726" s="6"/>
      <c r="D726" s="3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</row>
    <row r="727">
      <c r="A727" s="6"/>
      <c r="B727" s="49"/>
      <c r="C727" s="6"/>
      <c r="D727" s="3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</row>
    <row r="728">
      <c r="A728" s="6"/>
      <c r="B728" s="49"/>
      <c r="C728" s="6"/>
      <c r="D728" s="3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</row>
    <row r="729">
      <c r="A729" s="6"/>
      <c r="B729" s="49"/>
      <c r="C729" s="6"/>
      <c r="D729" s="3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</row>
    <row r="730">
      <c r="A730" s="6"/>
      <c r="B730" s="49"/>
      <c r="C730" s="6"/>
      <c r="D730" s="3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</row>
    <row r="731">
      <c r="A731" s="6"/>
      <c r="B731" s="49"/>
      <c r="C731" s="6"/>
      <c r="D731" s="3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</row>
    <row r="732">
      <c r="A732" s="6"/>
      <c r="B732" s="49"/>
      <c r="C732" s="6"/>
      <c r="D732" s="3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</row>
    <row r="733">
      <c r="A733" s="6"/>
      <c r="B733" s="49"/>
      <c r="C733" s="6"/>
      <c r="D733" s="3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</row>
    <row r="734">
      <c r="A734" s="6"/>
      <c r="B734" s="49"/>
      <c r="C734" s="6"/>
      <c r="D734" s="3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</row>
    <row r="735">
      <c r="A735" s="6"/>
      <c r="B735" s="49"/>
      <c r="C735" s="6"/>
      <c r="D735" s="3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</row>
    <row r="736">
      <c r="A736" s="6"/>
      <c r="B736" s="49"/>
      <c r="C736" s="6"/>
      <c r="D736" s="3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</row>
    <row r="737">
      <c r="A737" s="6"/>
      <c r="B737" s="49"/>
      <c r="C737" s="6"/>
      <c r="D737" s="3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</row>
    <row r="738">
      <c r="A738" s="6"/>
      <c r="B738" s="49"/>
      <c r="C738" s="6"/>
      <c r="D738" s="3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</row>
    <row r="739">
      <c r="A739" s="6"/>
      <c r="B739" s="49"/>
      <c r="C739" s="6"/>
      <c r="D739" s="3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</row>
    <row r="740">
      <c r="A740" s="6"/>
      <c r="B740" s="49"/>
      <c r="C740" s="6"/>
      <c r="D740" s="3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</row>
    <row r="741">
      <c r="A741" s="6"/>
      <c r="B741" s="49"/>
      <c r="C741" s="6"/>
      <c r="D741" s="3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</row>
    <row r="742">
      <c r="A742" s="6"/>
      <c r="B742" s="49"/>
      <c r="C742" s="6"/>
      <c r="D742" s="3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</row>
    <row r="743">
      <c r="A743" s="6"/>
      <c r="B743" s="49"/>
      <c r="C743" s="6"/>
      <c r="D743" s="3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</row>
    <row r="744">
      <c r="A744" s="6"/>
      <c r="B744" s="49"/>
      <c r="C744" s="6"/>
      <c r="D744" s="3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</row>
    <row r="745">
      <c r="A745" s="6"/>
      <c r="B745" s="49"/>
      <c r="C745" s="6"/>
      <c r="D745" s="3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</row>
    <row r="746">
      <c r="A746" s="6"/>
      <c r="B746" s="49"/>
      <c r="C746" s="6"/>
      <c r="D746" s="3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</row>
    <row r="747">
      <c r="A747" s="6"/>
      <c r="B747" s="49"/>
      <c r="C747" s="6"/>
      <c r="D747" s="3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</row>
    <row r="748">
      <c r="A748" s="6"/>
      <c r="B748" s="49"/>
      <c r="C748" s="6"/>
      <c r="D748" s="3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</row>
    <row r="749">
      <c r="A749" s="6"/>
      <c r="B749" s="49"/>
      <c r="C749" s="6"/>
      <c r="D749" s="3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</row>
    <row r="750">
      <c r="A750" s="6"/>
      <c r="B750" s="49"/>
      <c r="C750" s="6"/>
      <c r="D750" s="3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</row>
    <row r="751">
      <c r="A751" s="6"/>
      <c r="B751" s="49"/>
      <c r="C751" s="6"/>
      <c r="D751" s="3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</row>
    <row r="752">
      <c r="A752" s="6"/>
      <c r="B752" s="49"/>
      <c r="C752" s="6"/>
      <c r="D752" s="3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</row>
    <row r="753">
      <c r="A753" s="6"/>
      <c r="B753" s="49"/>
      <c r="C753" s="6"/>
      <c r="D753" s="3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</row>
    <row r="754">
      <c r="A754" s="6"/>
      <c r="B754" s="49"/>
      <c r="C754" s="6"/>
      <c r="D754" s="3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</row>
    <row r="755">
      <c r="A755" s="6"/>
      <c r="B755" s="49"/>
      <c r="C755" s="6"/>
      <c r="D755" s="3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</row>
    <row r="756">
      <c r="A756" s="6"/>
      <c r="B756" s="49"/>
      <c r="C756" s="6"/>
      <c r="D756" s="3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</row>
    <row r="757">
      <c r="A757" s="6"/>
      <c r="B757" s="49"/>
      <c r="C757" s="6"/>
      <c r="D757" s="3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</row>
    <row r="758">
      <c r="A758" s="6"/>
      <c r="B758" s="49"/>
      <c r="C758" s="6"/>
      <c r="D758" s="3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</row>
    <row r="759">
      <c r="A759" s="6"/>
      <c r="B759" s="49"/>
      <c r="C759" s="6"/>
      <c r="D759" s="3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</row>
    <row r="760">
      <c r="A760" s="6"/>
      <c r="B760" s="49"/>
      <c r="C760" s="6"/>
      <c r="D760" s="3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</row>
    <row r="761">
      <c r="A761" s="6"/>
      <c r="B761" s="49"/>
      <c r="C761" s="6"/>
      <c r="D761" s="3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</row>
    <row r="762">
      <c r="A762" s="6"/>
      <c r="B762" s="49"/>
      <c r="C762" s="6"/>
      <c r="D762" s="3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</row>
    <row r="763">
      <c r="A763" s="6"/>
      <c r="B763" s="49"/>
      <c r="C763" s="6"/>
      <c r="D763" s="3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</row>
    <row r="764">
      <c r="A764" s="6"/>
      <c r="B764" s="49"/>
      <c r="C764" s="6"/>
      <c r="D764" s="3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</row>
    <row r="765">
      <c r="A765" s="6"/>
      <c r="B765" s="49"/>
      <c r="C765" s="6"/>
      <c r="D765" s="3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</row>
    <row r="766">
      <c r="A766" s="6"/>
      <c r="B766" s="49"/>
      <c r="C766" s="6"/>
      <c r="D766" s="3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</row>
    <row r="767">
      <c r="A767" s="6"/>
      <c r="B767" s="49"/>
      <c r="C767" s="6"/>
      <c r="D767" s="3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</row>
    <row r="768">
      <c r="A768" s="6"/>
      <c r="B768" s="49"/>
      <c r="C768" s="6"/>
      <c r="D768" s="3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</row>
    <row r="769">
      <c r="A769" s="6"/>
      <c r="B769" s="49"/>
      <c r="C769" s="6"/>
      <c r="D769" s="3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</row>
    <row r="770">
      <c r="A770" s="6"/>
      <c r="B770" s="49"/>
      <c r="C770" s="6"/>
      <c r="D770" s="3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</row>
    <row r="771">
      <c r="A771" s="6"/>
      <c r="B771" s="49"/>
      <c r="C771" s="6"/>
      <c r="D771" s="3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</row>
    <row r="772">
      <c r="A772" s="6"/>
      <c r="B772" s="49"/>
      <c r="C772" s="6"/>
      <c r="D772" s="3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</row>
    <row r="773">
      <c r="A773" s="6"/>
      <c r="B773" s="49"/>
      <c r="C773" s="6"/>
      <c r="D773" s="3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</row>
    <row r="774">
      <c r="A774" s="6"/>
      <c r="B774" s="49"/>
      <c r="C774" s="6"/>
      <c r="D774" s="3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</row>
    <row r="775">
      <c r="A775" s="6"/>
      <c r="B775" s="49"/>
      <c r="C775" s="6"/>
      <c r="D775" s="3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</row>
    <row r="776">
      <c r="A776" s="6"/>
      <c r="B776" s="49"/>
      <c r="C776" s="6"/>
      <c r="D776" s="3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</row>
    <row r="777">
      <c r="A777" s="6"/>
      <c r="B777" s="49"/>
      <c r="C777" s="6"/>
      <c r="D777" s="3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</row>
    <row r="778">
      <c r="A778" s="6"/>
      <c r="B778" s="49"/>
      <c r="C778" s="6"/>
      <c r="D778" s="3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</row>
    <row r="779">
      <c r="A779" s="6"/>
      <c r="B779" s="49"/>
      <c r="C779" s="6"/>
      <c r="D779" s="3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</row>
    <row r="780">
      <c r="A780" s="6"/>
      <c r="B780" s="49"/>
      <c r="C780" s="6"/>
      <c r="D780" s="3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</row>
    <row r="781">
      <c r="A781" s="6"/>
      <c r="B781" s="49"/>
      <c r="C781" s="6"/>
      <c r="D781" s="3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</row>
    <row r="782">
      <c r="A782" s="6"/>
      <c r="B782" s="49"/>
      <c r="C782" s="6"/>
      <c r="D782" s="3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</row>
    <row r="783">
      <c r="A783" s="6"/>
      <c r="B783" s="49"/>
      <c r="C783" s="6"/>
      <c r="D783" s="3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</row>
    <row r="784">
      <c r="A784" s="6"/>
      <c r="B784" s="49"/>
      <c r="C784" s="6"/>
      <c r="D784" s="3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</row>
    <row r="785">
      <c r="A785" s="6"/>
      <c r="B785" s="49"/>
      <c r="C785" s="6"/>
      <c r="D785" s="3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</row>
    <row r="786">
      <c r="A786" s="6"/>
      <c r="B786" s="49"/>
      <c r="C786" s="6"/>
      <c r="D786" s="3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</row>
    <row r="787">
      <c r="A787" s="6"/>
      <c r="B787" s="49"/>
      <c r="C787" s="6"/>
      <c r="D787" s="3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</row>
    <row r="788">
      <c r="A788" s="6"/>
      <c r="B788" s="49"/>
      <c r="C788" s="6"/>
      <c r="D788" s="3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</row>
    <row r="789">
      <c r="A789" s="6"/>
      <c r="B789" s="49"/>
      <c r="C789" s="6"/>
      <c r="D789" s="3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</row>
    <row r="790">
      <c r="A790" s="6"/>
      <c r="B790" s="49"/>
      <c r="C790" s="6"/>
      <c r="D790" s="3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</row>
    <row r="791">
      <c r="A791" s="6"/>
      <c r="B791" s="49"/>
      <c r="C791" s="6"/>
      <c r="D791" s="3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</row>
    <row r="792">
      <c r="A792" s="6"/>
      <c r="B792" s="49"/>
      <c r="C792" s="6"/>
      <c r="D792" s="3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</row>
    <row r="793">
      <c r="A793" s="6"/>
      <c r="B793" s="49"/>
      <c r="C793" s="6"/>
      <c r="D793" s="3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</row>
    <row r="794">
      <c r="A794" s="6"/>
      <c r="B794" s="49"/>
      <c r="C794" s="6"/>
      <c r="D794" s="3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</row>
    <row r="795">
      <c r="A795" s="6"/>
      <c r="B795" s="49"/>
      <c r="C795" s="6"/>
      <c r="D795" s="3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</row>
    <row r="796">
      <c r="A796" s="6"/>
      <c r="B796" s="49"/>
      <c r="C796" s="6"/>
      <c r="D796" s="3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</row>
    <row r="797">
      <c r="A797" s="6"/>
      <c r="B797" s="49"/>
      <c r="C797" s="6"/>
      <c r="D797" s="3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</row>
    <row r="798">
      <c r="A798" s="6"/>
      <c r="B798" s="49"/>
      <c r="C798" s="6"/>
      <c r="D798" s="3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</row>
    <row r="799">
      <c r="A799" s="6"/>
      <c r="B799" s="49"/>
      <c r="C799" s="6"/>
      <c r="D799" s="3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</row>
    <row r="800">
      <c r="A800" s="6"/>
      <c r="B800" s="49"/>
      <c r="C800" s="6"/>
      <c r="D800" s="3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</row>
    <row r="801">
      <c r="A801" s="6"/>
      <c r="B801" s="49"/>
      <c r="C801" s="6"/>
      <c r="D801" s="3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</row>
    <row r="802">
      <c r="A802" s="6"/>
      <c r="B802" s="49"/>
      <c r="C802" s="6"/>
      <c r="D802" s="3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</row>
    <row r="803">
      <c r="A803" s="6"/>
      <c r="B803" s="49"/>
      <c r="C803" s="6"/>
      <c r="D803" s="3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</row>
    <row r="804">
      <c r="A804" s="6"/>
      <c r="B804" s="49"/>
      <c r="C804" s="6"/>
      <c r="D804" s="3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</row>
    <row r="805">
      <c r="A805" s="6"/>
      <c r="B805" s="49"/>
      <c r="C805" s="6"/>
      <c r="D805" s="3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</row>
    <row r="806">
      <c r="A806" s="6"/>
      <c r="B806" s="49"/>
      <c r="C806" s="6"/>
      <c r="D806" s="3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</row>
    <row r="807">
      <c r="A807" s="6"/>
      <c r="B807" s="49"/>
      <c r="C807" s="6"/>
      <c r="D807" s="3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</row>
    <row r="808">
      <c r="A808" s="6"/>
      <c r="B808" s="49"/>
      <c r="C808" s="6"/>
      <c r="D808" s="3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</row>
    <row r="809">
      <c r="A809" s="6"/>
      <c r="B809" s="49"/>
      <c r="C809" s="6"/>
      <c r="D809" s="3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</row>
    <row r="810">
      <c r="A810" s="6"/>
      <c r="B810" s="49"/>
      <c r="C810" s="6"/>
      <c r="D810" s="3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</row>
    <row r="811">
      <c r="A811" s="6"/>
      <c r="B811" s="49"/>
      <c r="C811" s="6"/>
      <c r="D811" s="3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</row>
    <row r="812">
      <c r="A812" s="6"/>
      <c r="B812" s="49"/>
      <c r="C812" s="6"/>
      <c r="D812" s="3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</row>
    <row r="813">
      <c r="A813" s="6"/>
      <c r="B813" s="49"/>
      <c r="C813" s="6"/>
      <c r="D813" s="3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</row>
    <row r="814">
      <c r="A814" s="6"/>
      <c r="B814" s="49"/>
      <c r="C814" s="6"/>
      <c r="D814" s="3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</row>
    <row r="815">
      <c r="A815" s="6"/>
      <c r="B815" s="49"/>
      <c r="C815" s="6"/>
      <c r="D815" s="3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</row>
    <row r="816">
      <c r="A816" s="6"/>
      <c r="B816" s="49"/>
      <c r="C816" s="6"/>
      <c r="D816" s="3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</row>
    <row r="817">
      <c r="A817" s="6"/>
      <c r="B817" s="49"/>
      <c r="C817" s="6"/>
      <c r="D817" s="3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</row>
    <row r="818">
      <c r="A818" s="6"/>
      <c r="B818" s="49"/>
      <c r="C818" s="6"/>
      <c r="D818" s="3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</row>
    <row r="819">
      <c r="A819" s="6"/>
      <c r="B819" s="49"/>
      <c r="C819" s="6"/>
      <c r="D819" s="3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</row>
    <row r="820">
      <c r="A820" s="6"/>
      <c r="B820" s="49"/>
      <c r="C820" s="6"/>
      <c r="D820" s="3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</row>
    <row r="821">
      <c r="A821" s="6"/>
      <c r="B821" s="49"/>
      <c r="C821" s="6"/>
      <c r="D821" s="3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</row>
    <row r="822">
      <c r="A822" s="6"/>
      <c r="B822" s="49"/>
      <c r="C822" s="6"/>
      <c r="D822" s="3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</row>
    <row r="823">
      <c r="A823" s="6"/>
      <c r="B823" s="49"/>
      <c r="C823" s="6"/>
      <c r="D823" s="3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</row>
    <row r="824">
      <c r="A824" s="6"/>
      <c r="B824" s="49"/>
      <c r="C824" s="6"/>
      <c r="D824" s="3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</row>
    <row r="825">
      <c r="A825" s="6"/>
      <c r="B825" s="49"/>
      <c r="C825" s="6"/>
      <c r="D825" s="3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</row>
    <row r="826">
      <c r="A826" s="6"/>
      <c r="B826" s="49"/>
      <c r="C826" s="6"/>
      <c r="D826" s="3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</row>
    <row r="827">
      <c r="A827" s="6"/>
      <c r="B827" s="49"/>
      <c r="C827" s="6"/>
      <c r="D827" s="3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</row>
    <row r="828">
      <c r="A828" s="6"/>
      <c r="B828" s="49"/>
      <c r="C828" s="6"/>
      <c r="D828" s="3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</row>
    <row r="829">
      <c r="A829" s="6"/>
      <c r="B829" s="49"/>
      <c r="C829" s="6"/>
      <c r="D829" s="3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</row>
    <row r="830">
      <c r="A830" s="6"/>
      <c r="B830" s="49"/>
      <c r="C830" s="6"/>
      <c r="D830" s="3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</row>
    <row r="831">
      <c r="A831" s="6"/>
      <c r="B831" s="49"/>
      <c r="C831" s="6"/>
      <c r="D831" s="3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</row>
    <row r="832">
      <c r="A832" s="6"/>
      <c r="B832" s="49"/>
      <c r="C832" s="6"/>
      <c r="D832" s="3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</row>
    <row r="833">
      <c r="A833" s="6"/>
      <c r="B833" s="49"/>
      <c r="C833" s="6"/>
      <c r="D833" s="3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</row>
    <row r="834">
      <c r="A834" s="6"/>
      <c r="B834" s="49"/>
      <c r="C834" s="6"/>
      <c r="D834" s="3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</row>
    <row r="835">
      <c r="A835" s="6"/>
      <c r="B835" s="49"/>
      <c r="C835" s="6"/>
      <c r="D835" s="3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</row>
    <row r="836">
      <c r="A836" s="6"/>
      <c r="B836" s="49"/>
      <c r="C836" s="6"/>
      <c r="D836" s="3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</row>
    <row r="837">
      <c r="A837" s="6"/>
      <c r="B837" s="49"/>
      <c r="C837" s="6"/>
      <c r="D837" s="3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</row>
    <row r="838">
      <c r="A838" s="6"/>
      <c r="B838" s="49"/>
      <c r="C838" s="6"/>
      <c r="D838" s="3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</row>
    <row r="839">
      <c r="A839" s="6"/>
      <c r="B839" s="49"/>
      <c r="C839" s="6"/>
      <c r="D839" s="3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</row>
    <row r="840">
      <c r="A840" s="6"/>
      <c r="B840" s="49"/>
      <c r="C840" s="6"/>
      <c r="D840" s="3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</row>
    <row r="841">
      <c r="A841" s="6"/>
      <c r="B841" s="49"/>
      <c r="C841" s="6"/>
      <c r="D841" s="3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</row>
    <row r="842">
      <c r="A842" s="6"/>
      <c r="B842" s="49"/>
      <c r="C842" s="6"/>
      <c r="D842" s="3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</row>
    <row r="843">
      <c r="A843" s="6"/>
      <c r="B843" s="49"/>
      <c r="C843" s="6"/>
      <c r="D843" s="3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</row>
    <row r="844">
      <c r="A844" s="6"/>
      <c r="B844" s="49"/>
      <c r="C844" s="6"/>
      <c r="D844" s="3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</row>
    <row r="845">
      <c r="A845" s="6"/>
      <c r="B845" s="49"/>
      <c r="C845" s="6"/>
      <c r="D845" s="3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</row>
    <row r="846">
      <c r="A846" s="6"/>
      <c r="B846" s="49"/>
      <c r="C846" s="6"/>
      <c r="D846" s="3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</row>
    <row r="847">
      <c r="A847" s="6"/>
      <c r="B847" s="49"/>
      <c r="C847" s="6"/>
      <c r="D847" s="3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</row>
    <row r="848">
      <c r="A848" s="6"/>
      <c r="B848" s="49"/>
      <c r="C848" s="6"/>
      <c r="D848" s="3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</row>
    <row r="849">
      <c r="A849" s="6"/>
      <c r="B849" s="49"/>
      <c r="C849" s="6"/>
      <c r="D849" s="3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</row>
    <row r="850">
      <c r="A850" s="6"/>
      <c r="B850" s="49"/>
      <c r="C850" s="6"/>
      <c r="D850" s="3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</row>
    <row r="851">
      <c r="A851" s="6"/>
      <c r="B851" s="49"/>
      <c r="C851" s="6"/>
      <c r="D851" s="3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</row>
    <row r="852">
      <c r="A852" s="6"/>
      <c r="B852" s="49"/>
      <c r="C852" s="6"/>
      <c r="D852" s="3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</row>
    <row r="853">
      <c r="A853" s="6"/>
      <c r="B853" s="49"/>
      <c r="C853" s="6"/>
      <c r="D853" s="3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</row>
    <row r="854">
      <c r="A854" s="6"/>
      <c r="B854" s="49"/>
      <c r="C854" s="6"/>
      <c r="D854" s="3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</row>
    <row r="855">
      <c r="A855" s="6"/>
      <c r="B855" s="49"/>
      <c r="C855" s="6"/>
      <c r="D855" s="3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</row>
    <row r="856">
      <c r="A856" s="6"/>
      <c r="B856" s="49"/>
      <c r="C856" s="6"/>
      <c r="D856" s="3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</row>
    <row r="857">
      <c r="A857" s="6"/>
      <c r="B857" s="49"/>
      <c r="C857" s="6"/>
      <c r="D857" s="3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</row>
    <row r="858">
      <c r="A858" s="6"/>
      <c r="B858" s="49"/>
      <c r="C858" s="6"/>
      <c r="D858" s="3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</row>
    <row r="859">
      <c r="A859" s="6"/>
      <c r="B859" s="49"/>
      <c r="C859" s="6"/>
      <c r="D859" s="3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</row>
    <row r="860">
      <c r="A860" s="6"/>
      <c r="B860" s="49"/>
      <c r="C860" s="6"/>
      <c r="D860" s="3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</row>
    <row r="861">
      <c r="A861" s="6"/>
      <c r="B861" s="49"/>
      <c r="C861" s="6"/>
      <c r="D861" s="3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</row>
    <row r="862">
      <c r="A862" s="6"/>
      <c r="B862" s="49"/>
      <c r="C862" s="6"/>
      <c r="D862" s="3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</row>
    <row r="863">
      <c r="A863" s="6"/>
      <c r="B863" s="49"/>
      <c r="C863" s="6"/>
      <c r="D863" s="3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</row>
    <row r="864">
      <c r="A864" s="6"/>
      <c r="B864" s="49"/>
      <c r="C864" s="6"/>
      <c r="D864" s="3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</row>
    <row r="865">
      <c r="A865" s="6"/>
      <c r="B865" s="49"/>
      <c r="C865" s="6"/>
      <c r="D865" s="3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</row>
    <row r="866">
      <c r="A866" s="6"/>
      <c r="B866" s="49"/>
      <c r="C866" s="6"/>
      <c r="D866" s="3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</row>
    <row r="867">
      <c r="A867" s="6"/>
      <c r="B867" s="49"/>
      <c r="C867" s="6"/>
      <c r="D867" s="3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</row>
    <row r="868">
      <c r="A868" s="6"/>
      <c r="B868" s="49"/>
      <c r="C868" s="6"/>
      <c r="D868" s="3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</row>
    <row r="869">
      <c r="A869" s="6"/>
      <c r="B869" s="49"/>
      <c r="C869" s="6"/>
      <c r="D869" s="3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</row>
    <row r="870">
      <c r="A870" s="6"/>
      <c r="B870" s="49"/>
      <c r="C870" s="6"/>
      <c r="D870" s="3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</row>
    <row r="871">
      <c r="A871" s="6"/>
      <c r="B871" s="49"/>
      <c r="C871" s="6"/>
      <c r="D871" s="3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</row>
    <row r="872">
      <c r="A872" s="6"/>
      <c r="B872" s="49"/>
      <c r="C872" s="6"/>
      <c r="D872" s="3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</row>
    <row r="873">
      <c r="A873" s="6"/>
      <c r="B873" s="49"/>
      <c r="C873" s="6"/>
      <c r="D873" s="3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</row>
    <row r="874">
      <c r="A874" s="6"/>
      <c r="B874" s="49"/>
      <c r="C874" s="6"/>
      <c r="D874" s="3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</row>
    <row r="875">
      <c r="A875" s="6"/>
      <c r="B875" s="49"/>
      <c r="C875" s="6"/>
      <c r="D875" s="3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</row>
    <row r="876">
      <c r="A876" s="6"/>
      <c r="B876" s="49"/>
      <c r="C876" s="6"/>
      <c r="D876" s="3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</row>
    <row r="877">
      <c r="A877" s="6"/>
      <c r="B877" s="49"/>
      <c r="C877" s="6"/>
      <c r="D877" s="3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</row>
    <row r="878">
      <c r="A878" s="6"/>
      <c r="B878" s="49"/>
      <c r="C878" s="6"/>
      <c r="D878" s="3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</row>
    <row r="879">
      <c r="A879" s="6"/>
      <c r="B879" s="49"/>
      <c r="C879" s="6"/>
      <c r="D879" s="3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</row>
    <row r="880">
      <c r="A880" s="6"/>
      <c r="B880" s="49"/>
      <c r="C880" s="6"/>
      <c r="D880" s="3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</row>
    <row r="881">
      <c r="A881" s="6"/>
      <c r="B881" s="49"/>
      <c r="C881" s="6"/>
      <c r="D881" s="3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</row>
    <row r="882">
      <c r="A882" s="6"/>
      <c r="B882" s="49"/>
      <c r="C882" s="6"/>
      <c r="D882" s="3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</row>
    <row r="883">
      <c r="A883" s="6"/>
      <c r="B883" s="49"/>
      <c r="C883" s="6"/>
      <c r="D883" s="3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</row>
    <row r="884">
      <c r="A884" s="6"/>
      <c r="B884" s="49"/>
      <c r="C884" s="6"/>
      <c r="D884" s="3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</row>
    <row r="885">
      <c r="A885" s="6"/>
      <c r="B885" s="49"/>
      <c r="C885" s="6"/>
      <c r="D885" s="3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</row>
    <row r="886">
      <c r="A886" s="6"/>
      <c r="B886" s="49"/>
      <c r="C886" s="6"/>
      <c r="D886" s="3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</row>
    <row r="887">
      <c r="A887" s="6"/>
      <c r="B887" s="49"/>
      <c r="C887" s="6"/>
      <c r="D887" s="3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</row>
    <row r="888">
      <c r="A888" s="6"/>
      <c r="B888" s="49"/>
      <c r="C888" s="6"/>
      <c r="D888" s="3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</row>
    <row r="889">
      <c r="A889" s="6"/>
      <c r="B889" s="49"/>
      <c r="C889" s="6"/>
      <c r="D889" s="3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</row>
    <row r="890">
      <c r="A890" s="6"/>
      <c r="B890" s="49"/>
      <c r="C890" s="6"/>
      <c r="D890" s="3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</row>
    <row r="891">
      <c r="A891" s="6"/>
      <c r="B891" s="49"/>
      <c r="C891" s="6"/>
      <c r="D891" s="3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</row>
    <row r="892">
      <c r="A892" s="6"/>
      <c r="B892" s="49"/>
      <c r="C892" s="6"/>
      <c r="D892" s="3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</row>
    <row r="893">
      <c r="A893" s="6"/>
      <c r="B893" s="49"/>
      <c r="C893" s="6"/>
      <c r="D893" s="3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</row>
    <row r="894">
      <c r="A894" s="6"/>
      <c r="B894" s="49"/>
      <c r="C894" s="6"/>
      <c r="D894" s="3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</row>
    <row r="895">
      <c r="A895" s="6"/>
      <c r="B895" s="49"/>
      <c r="C895" s="6"/>
      <c r="D895" s="3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</row>
    <row r="896">
      <c r="A896" s="6"/>
      <c r="B896" s="49"/>
      <c r="C896" s="6"/>
      <c r="D896" s="3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</row>
    <row r="897">
      <c r="A897" s="6"/>
      <c r="B897" s="49"/>
      <c r="C897" s="6"/>
      <c r="D897" s="3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</row>
    <row r="898">
      <c r="A898" s="6"/>
      <c r="B898" s="49"/>
      <c r="C898" s="6"/>
      <c r="D898" s="3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</row>
    <row r="899">
      <c r="A899" s="6"/>
      <c r="B899" s="49"/>
      <c r="C899" s="6"/>
      <c r="D899" s="3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</row>
    <row r="900">
      <c r="A900" s="6"/>
      <c r="B900" s="49"/>
      <c r="C900" s="6"/>
      <c r="D900" s="3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</row>
    <row r="901">
      <c r="A901" s="6"/>
      <c r="B901" s="49"/>
      <c r="C901" s="6"/>
      <c r="D901" s="3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</row>
    <row r="902">
      <c r="A902" s="6"/>
      <c r="B902" s="49"/>
      <c r="C902" s="6"/>
      <c r="D902" s="3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</row>
    <row r="903">
      <c r="A903" s="6"/>
      <c r="B903" s="49"/>
      <c r="C903" s="6"/>
      <c r="D903" s="3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</row>
    <row r="904">
      <c r="A904" s="6"/>
      <c r="B904" s="49"/>
      <c r="C904" s="6"/>
      <c r="D904" s="3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</row>
    <row r="905">
      <c r="A905" s="6"/>
      <c r="B905" s="49"/>
      <c r="C905" s="6"/>
      <c r="D905" s="3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</row>
    <row r="906">
      <c r="A906" s="6"/>
      <c r="B906" s="49"/>
      <c r="C906" s="6"/>
      <c r="D906" s="3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</row>
    <row r="907">
      <c r="A907" s="6"/>
      <c r="B907" s="49"/>
      <c r="C907" s="6"/>
      <c r="D907" s="3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</row>
    <row r="908">
      <c r="A908" s="6"/>
      <c r="B908" s="49"/>
      <c r="C908" s="6"/>
      <c r="D908" s="3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</row>
    <row r="909">
      <c r="A909" s="6"/>
      <c r="B909" s="49"/>
      <c r="C909" s="6"/>
      <c r="D909" s="3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</row>
    <row r="910">
      <c r="A910" s="6"/>
      <c r="B910" s="49"/>
      <c r="C910" s="6"/>
      <c r="D910" s="3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</row>
    <row r="911">
      <c r="A911" s="6"/>
      <c r="B911" s="49"/>
      <c r="C911" s="6"/>
      <c r="D911" s="3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</row>
    <row r="912">
      <c r="A912" s="6"/>
      <c r="B912" s="49"/>
      <c r="C912" s="6"/>
      <c r="D912" s="3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</row>
    <row r="913">
      <c r="A913" s="6"/>
      <c r="B913" s="49"/>
      <c r="C913" s="6"/>
      <c r="D913" s="3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</row>
    <row r="914">
      <c r="A914" s="6"/>
      <c r="B914" s="49"/>
      <c r="C914" s="6"/>
      <c r="D914" s="3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</row>
    <row r="915">
      <c r="A915" s="6"/>
      <c r="B915" s="49"/>
      <c r="C915" s="6"/>
      <c r="D915" s="3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</row>
    <row r="916">
      <c r="A916" s="6"/>
      <c r="B916" s="49"/>
      <c r="C916" s="6"/>
      <c r="D916" s="3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</row>
    <row r="917">
      <c r="A917" s="6"/>
      <c r="B917" s="49"/>
      <c r="C917" s="6"/>
      <c r="D917" s="3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</row>
    <row r="918">
      <c r="A918" s="6"/>
      <c r="B918" s="49"/>
      <c r="C918" s="6"/>
      <c r="D918" s="3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</row>
    <row r="919">
      <c r="A919" s="6"/>
      <c r="B919" s="49"/>
      <c r="C919" s="6"/>
      <c r="D919" s="3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</row>
    <row r="920">
      <c r="A920" s="6"/>
      <c r="B920" s="49"/>
      <c r="C920" s="6"/>
      <c r="D920" s="3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</row>
    <row r="921">
      <c r="A921" s="6"/>
      <c r="B921" s="49"/>
      <c r="C921" s="6"/>
      <c r="D921" s="3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</row>
    <row r="922">
      <c r="A922" s="6"/>
      <c r="B922" s="49"/>
      <c r="C922" s="6"/>
      <c r="D922" s="3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</row>
    <row r="923">
      <c r="A923" s="6"/>
      <c r="B923" s="49"/>
      <c r="C923" s="6"/>
      <c r="D923" s="3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</row>
    <row r="924">
      <c r="A924" s="6"/>
      <c r="B924" s="49"/>
      <c r="C924" s="6"/>
      <c r="D924" s="3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</row>
    <row r="925">
      <c r="A925" s="6"/>
      <c r="B925" s="49"/>
      <c r="C925" s="6"/>
      <c r="D925" s="3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</row>
    <row r="926">
      <c r="A926" s="6"/>
      <c r="B926" s="49"/>
      <c r="C926" s="6"/>
      <c r="D926" s="3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</row>
    <row r="927">
      <c r="A927" s="6"/>
      <c r="B927" s="49"/>
      <c r="C927" s="6"/>
      <c r="D927" s="3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</row>
    <row r="928">
      <c r="A928" s="6"/>
      <c r="B928" s="49"/>
      <c r="C928" s="6"/>
      <c r="D928" s="3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</row>
    <row r="929">
      <c r="A929" s="6"/>
      <c r="B929" s="49"/>
      <c r="C929" s="6"/>
      <c r="D929" s="3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</row>
    <row r="930">
      <c r="A930" s="6"/>
      <c r="B930" s="49"/>
      <c r="C930" s="6"/>
      <c r="D930" s="3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</row>
    <row r="931">
      <c r="A931" s="6"/>
      <c r="B931" s="49"/>
      <c r="C931" s="6"/>
      <c r="D931" s="3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</row>
    <row r="932">
      <c r="A932" s="6"/>
      <c r="B932" s="49"/>
      <c r="C932" s="6"/>
      <c r="D932" s="3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</row>
    <row r="933">
      <c r="A933" s="6"/>
      <c r="B933" s="49"/>
      <c r="C933" s="6"/>
      <c r="D933" s="3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</row>
    <row r="934">
      <c r="A934" s="6"/>
      <c r="B934" s="49"/>
      <c r="C934" s="6"/>
      <c r="D934" s="3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</row>
    <row r="935">
      <c r="A935" s="6"/>
      <c r="B935" s="49"/>
      <c r="C935" s="6"/>
      <c r="D935" s="3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</row>
    <row r="936">
      <c r="A936" s="6"/>
      <c r="B936" s="49"/>
      <c r="C936" s="6"/>
      <c r="D936" s="3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</row>
    <row r="937">
      <c r="A937" s="6"/>
      <c r="B937" s="49"/>
      <c r="C937" s="6"/>
      <c r="D937" s="3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</row>
    <row r="938">
      <c r="A938" s="6"/>
      <c r="B938" s="49"/>
      <c r="C938" s="6"/>
      <c r="D938" s="3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</row>
    <row r="939">
      <c r="A939" s="6"/>
      <c r="B939" s="49"/>
      <c r="C939" s="6"/>
      <c r="D939" s="3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</row>
    <row r="940">
      <c r="A940" s="6"/>
      <c r="B940" s="49"/>
      <c r="C940" s="6"/>
      <c r="D940" s="3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</row>
    <row r="941">
      <c r="A941" s="6"/>
      <c r="B941" s="49"/>
      <c r="C941" s="6"/>
      <c r="D941" s="3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</row>
    <row r="942">
      <c r="A942" s="6"/>
      <c r="B942" s="49"/>
      <c r="C942" s="6"/>
      <c r="D942" s="3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</row>
    <row r="943">
      <c r="A943" s="6"/>
      <c r="B943" s="49"/>
      <c r="C943" s="6"/>
      <c r="D943" s="3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</row>
    <row r="944">
      <c r="A944" s="6"/>
      <c r="B944" s="49"/>
      <c r="C944" s="6"/>
      <c r="D944" s="3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</row>
    <row r="945">
      <c r="A945" s="6"/>
      <c r="B945" s="49"/>
      <c r="C945" s="6"/>
      <c r="D945" s="3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</row>
    <row r="946">
      <c r="A946" s="6"/>
      <c r="B946" s="49"/>
      <c r="C946" s="6"/>
      <c r="D946" s="3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</row>
    <row r="947">
      <c r="A947" s="6"/>
      <c r="B947" s="49"/>
      <c r="C947" s="6"/>
      <c r="D947" s="3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</row>
    <row r="948">
      <c r="A948" s="6"/>
      <c r="B948" s="49"/>
      <c r="C948" s="6"/>
      <c r="D948" s="3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</row>
    <row r="949">
      <c r="A949" s="6"/>
      <c r="B949" s="49"/>
      <c r="C949" s="6"/>
      <c r="D949" s="3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</row>
    <row r="950">
      <c r="A950" s="6"/>
      <c r="B950" s="49"/>
      <c r="C950" s="6"/>
      <c r="D950" s="3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</row>
    <row r="951">
      <c r="A951" s="6"/>
      <c r="B951" s="49"/>
      <c r="C951" s="6"/>
      <c r="D951" s="3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</row>
    <row r="952">
      <c r="A952" s="6"/>
      <c r="B952" s="49"/>
      <c r="C952" s="6"/>
      <c r="D952" s="3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</row>
    <row r="953">
      <c r="A953" s="6"/>
      <c r="B953" s="49"/>
      <c r="C953" s="6"/>
      <c r="D953" s="3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</row>
    <row r="954">
      <c r="A954" s="6"/>
      <c r="B954" s="49"/>
      <c r="C954" s="6"/>
      <c r="D954" s="3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</row>
    <row r="955">
      <c r="A955" s="6"/>
      <c r="B955" s="49"/>
      <c r="C955" s="6"/>
      <c r="D955" s="3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</row>
    <row r="956">
      <c r="A956" s="6"/>
      <c r="B956" s="49"/>
      <c r="C956" s="6"/>
      <c r="D956" s="3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</row>
    <row r="957">
      <c r="A957" s="6"/>
      <c r="B957" s="49"/>
      <c r="C957" s="6"/>
      <c r="D957" s="3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</row>
    <row r="958">
      <c r="A958" s="6"/>
      <c r="B958" s="49"/>
      <c r="C958" s="6"/>
      <c r="D958" s="3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</row>
    <row r="959">
      <c r="A959" s="6"/>
      <c r="B959" s="49"/>
      <c r="C959" s="6"/>
      <c r="D959" s="3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</row>
    <row r="960">
      <c r="A960" s="6"/>
      <c r="B960" s="49"/>
      <c r="C960" s="6"/>
      <c r="D960" s="3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</row>
    <row r="961">
      <c r="A961" s="6"/>
      <c r="B961" s="49"/>
      <c r="C961" s="6"/>
      <c r="D961" s="3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</row>
    <row r="962">
      <c r="A962" s="6"/>
      <c r="B962" s="49"/>
      <c r="C962" s="6"/>
      <c r="D962" s="3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</row>
    <row r="963">
      <c r="A963" s="6"/>
      <c r="B963" s="49"/>
      <c r="C963" s="6"/>
      <c r="D963" s="3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</row>
    <row r="964">
      <c r="A964" s="6"/>
      <c r="B964" s="49"/>
      <c r="C964" s="6"/>
      <c r="D964" s="3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</row>
    <row r="965">
      <c r="A965" s="6"/>
      <c r="B965" s="49"/>
      <c r="C965" s="6"/>
      <c r="D965" s="3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</row>
    <row r="966">
      <c r="A966" s="6"/>
      <c r="B966" s="49"/>
      <c r="C966" s="6"/>
      <c r="D966" s="3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</row>
    <row r="967">
      <c r="A967" s="6"/>
      <c r="B967" s="49"/>
      <c r="C967" s="6"/>
      <c r="D967" s="3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</row>
    <row r="968">
      <c r="A968" s="6"/>
      <c r="B968" s="49"/>
      <c r="C968" s="6"/>
      <c r="D968" s="3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</row>
    <row r="969">
      <c r="A969" s="6"/>
      <c r="B969" s="49"/>
      <c r="C969" s="6"/>
      <c r="D969" s="3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</row>
    <row r="970">
      <c r="A970" s="6"/>
      <c r="B970" s="49"/>
      <c r="C970" s="6"/>
      <c r="D970" s="3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</row>
    <row r="971">
      <c r="A971" s="6"/>
      <c r="B971" s="49"/>
      <c r="C971" s="6"/>
      <c r="D971" s="3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</row>
    <row r="972">
      <c r="A972" s="6"/>
      <c r="B972" s="49"/>
      <c r="C972" s="6"/>
      <c r="D972" s="3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</row>
    <row r="973">
      <c r="A973" s="6"/>
      <c r="B973" s="49"/>
      <c r="C973" s="6"/>
      <c r="D973" s="3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</row>
    <row r="974">
      <c r="A974" s="6"/>
      <c r="B974" s="49"/>
      <c r="C974" s="6"/>
      <c r="D974" s="3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</row>
    <row r="975">
      <c r="A975" s="6"/>
      <c r="B975" s="49"/>
      <c r="C975" s="6"/>
      <c r="D975" s="3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</row>
    <row r="976">
      <c r="A976" s="6"/>
      <c r="B976" s="49"/>
      <c r="C976" s="6"/>
      <c r="D976" s="3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</row>
    <row r="977">
      <c r="A977" s="6"/>
      <c r="B977" s="49"/>
      <c r="C977" s="6"/>
      <c r="D977" s="3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</row>
    <row r="978">
      <c r="A978" s="6"/>
      <c r="B978" s="49"/>
      <c r="C978" s="6"/>
      <c r="D978" s="3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</row>
    <row r="979">
      <c r="A979" s="6"/>
      <c r="B979" s="49"/>
      <c r="C979" s="6"/>
      <c r="D979" s="3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</row>
    <row r="980">
      <c r="A980" s="6"/>
      <c r="B980" s="49"/>
      <c r="C980" s="6"/>
      <c r="D980" s="3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</row>
    <row r="981">
      <c r="A981" s="6"/>
      <c r="B981" s="49"/>
      <c r="C981" s="6"/>
      <c r="D981" s="3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</row>
    <row r="982">
      <c r="A982" s="6"/>
      <c r="B982" s="49"/>
      <c r="C982" s="6"/>
      <c r="D982" s="3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</row>
    <row r="983">
      <c r="A983" s="6"/>
      <c r="B983" s="49"/>
      <c r="C983" s="6"/>
      <c r="D983" s="3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</row>
  </sheetData>
  <mergeCells count="5">
    <mergeCell ref="A1:B1"/>
    <mergeCell ref="E1:I1"/>
    <mergeCell ref="A2:C2"/>
    <mergeCell ref="E2:I2"/>
    <mergeCell ref="A20:C20"/>
  </mergeCells>
  <hyperlinks>
    <hyperlink r:id="rId1" ref="M5"/>
    <hyperlink r:id="rId2" ref="M6"/>
    <hyperlink r:id="rId3" ref="M7"/>
    <hyperlink r:id="rId4" ref="M10"/>
    <hyperlink r:id="rId5" ref="M11"/>
  </hyperlinks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3.88"/>
  </cols>
  <sheetData>
    <row r="1">
      <c r="A1" s="35" t="s">
        <v>42</v>
      </c>
      <c r="D1" s="6"/>
    </row>
    <row r="2">
      <c r="A2" s="55" t="s">
        <v>106</v>
      </c>
    </row>
    <row r="3">
      <c r="A3" s="56" t="s">
        <v>45</v>
      </c>
      <c r="B3" s="57" t="s">
        <v>46</v>
      </c>
      <c r="C3" s="57" t="s">
        <v>10</v>
      </c>
      <c r="D3" s="6"/>
      <c r="F3" s="19" t="s">
        <v>1</v>
      </c>
    </row>
    <row r="4">
      <c r="A4" s="6" t="s">
        <v>107</v>
      </c>
      <c r="B4" s="17">
        <v>17.0</v>
      </c>
      <c r="C4" s="18">
        <v>1.66073299E8</v>
      </c>
      <c r="D4" s="6"/>
      <c r="F4" s="20" t="s">
        <v>108</v>
      </c>
    </row>
    <row r="5">
      <c r="A5" s="58" t="s">
        <v>109</v>
      </c>
      <c r="B5" s="15">
        <v>14.55</v>
      </c>
      <c r="C5" s="16">
        <v>1.63607569E8</v>
      </c>
      <c r="D5" s="6"/>
    </row>
    <row r="6">
      <c r="A6" s="6" t="s">
        <v>110</v>
      </c>
      <c r="B6" s="17">
        <v>15.7</v>
      </c>
      <c r="C6" s="18">
        <v>1.36156356E8</v>
      </c>
      <c r="D6" s="6"/>
    </row>
    <row r="7">
      <c r="A7" s="58" t="s">
        <v>111</v>
      </c>
      <c r="B7" s="15">
        <v>16.25</v>
      </c>
      <c r="C7" s="16">
        <v>1.27260482E8</v>
      </c>
      <c r="D7" s="6"/>
    </row>
    <row r="8">
      <c r="A8" s="6" t="s">
        <v>53</v>
      </c>
      <c r="B8" s="17">
        <v>81.3</v>
      </c>
      <c r="C8" s="18">
        <v>8.2330493E7</v>
      </c>
      <c r="D8" s="6"/>
    </row>
    <row r="9">
      <c r="A9" s="58" t="s">
        <v>112</v>
      </c>
      <c r="B9" s="15">
        <v>75.85</v>
      </c>
      <c r="C9" s="16">
        <v>6.2744981E7</v>
      </c>
      <c r="D9" s="6"/>
    </row>
    <row r="10">
      <c r="A10" s="6" t="s">
        <v>113</v>
      </c>
      <c r="B10" s="17">
        <v>7.6</v>
      </c>
      <c r="C10" s="18">
        <v>6.0944546E7</v>
      </c>
      <c r="D10" s="6"/>
    </row>
    <row r="11">
      <c r="A11" s="58" t="s">
        <v>114</v>
      </c>
      <c r="B11" s="15">
        <v>87.35</v>
      </c>
      <c r="C11" s="16">
        <v>4.8262241E7</v>
      </c>
      <c r="D11" s="6"/>
    </row>
    <row r="12">
      <c r="A12" s="6" t="s">
        <v>115</v>
      </c>
      <c r="B12" s="17">
        <v>78.7</v>
      </c>
      <c r="C12" s="18">
        <v>4.2578753E7</v>
      </c>
      <c r="D12" s="6"/>
    </row>
    <row r="13">
      <c r="A13" s="58" t="s">
        <v>116</v>
      </c>
      <c r="B13" s="15">
        <v>51.95</v>
      </c>
      <c r="C13" s="16">
        <v>3.4057742E7</v>
      </c>
      <c r="D13" s="6"/>
    </row>
    <row r="14">
      <c r="A14" s="6" t="s">
        <v>117</v>
      </c>
      <c r="B14" s="17">
        <v>114.1</v>
      </c>
      <c r="C14" s="18">
        <v>3.3502185E7</v>
      </c>
      <c r="D14" s="6"/>
    </row>
    <row r="15">
      <c r="A15" s="58" t="s">
        <v>72</v>
      </c>
      <c r="B15" s="15">
        <v>193.75</v>
      </c>
      <c r="C15" s="16">
        <v>3.3267447E7</v>
      </c>
      <c r="D15" s="6"/>
    </row>
    <row r="16">
      <c r="A16" s="6" t="s">
        <v>118</v>
      </c>
      <c r="B16" s="17">
        <v>150.45</v>
      </c>
      <c r="C16" s="18">
        <v>2.761029E7</v>
      </c>
      <c r="D16" s="6"/>
    </row>
    <row r="17">
      <c r="A17" s="58" t="s">
        <v>119</v>
      </c>
      <c r="B17" s="15">
        <v>132.85</v>
      </c>
      <c r="C17" s="16">
        <v>2.6050078E7</v>
      </c>
      <c r="D17" s="6"/>
    </row>
    <row r="18">
      <c r="A18" s="6" t="s">
        <v>120</v>
      </c>
      <c r="B18" s="17">
        <v>6.25</v>
      </c>
      <c r="C18" s="18">
        <v>2.5915276E7</v>
      </c>
      <c r="D18" s="6"/>
    </row>
    <row r="19">
      <c r="A19" s="58" t="s">
        <v>81</v>
      </c>
      <c r="B19" s="15">
        <v>167.95</v>
      </c>
      <c r="C19" s="16">
        <v>2.5040816E7</v>
      </c>
      <c r="D19" s="6"/>
    </row>
    <row r="20">
      <c r="A20" s="6" t="s">
        <v>121</v>
      </c>
      <c r="B20" s="17">
        <v>33.0</v>
      </c>
      <c r="C20" s="18">
        <v>2.3821237E7</v>
      </c>
      <c r="D20" s="6"/>
    </row>
  </sheetData>
  <mergeCells count="2">
    <mergeCell ref="A1:C1"/>
    <mergeCell ref="A2:D2"/>
  </mergeCells>
  <hyperlinks>
    <hyperlink r:id="rId1" ref="F4"/>
  </hyperlin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5.75"/>
    <col customWidth="1" min="7" max="7" width="17.63"/>
    <col customWidth="1" min="14" max="14" width="4.13"/>
  </cols>
  <sheetData>
    <row r="1">
      <c r="A1" s="59" t="s">
        <v>122</v>
      </c>
      <c r="B1" s="6"/>
      <c r="C1" s="6"/>
      <c r="D1" s="6"/>
      <c r="E1" s="6"/>
      <c r="F1" s="6"/>
      <c r="G1" s="59" t="s">
        <v>123</v>
      </c>
      <c r="H1" s="6"/>
      <c r="I1" s="6"/>
      <c r="J1" s="6"/>
      <c r="K1" s="6"/>
      <c r="L1" s="6"/>
      <c r="M1" s="6"/>
      <c r="N1" s="6"/>
      <c r="O1" s="59" t="s">
        <v>124</v>
      </c>
      <c r="P1" s="6"/>
      <c r="Q1" s="6"/>
      <c r="R1" s="6"/>
      <c r="S1" s="6"/>
    </row>
    <row r="2">
      <c r="A2" s="60" t="s">
        <v>125</v>
      </c>
      <c r="B2" s="60" t="s">
        <v>126</v>
      </c>
      <c r="C2" s="60" t="s">
        <v>127</v>
      </c>
      <c r="D2" s="60" t="s">
        <v>128</v>
      </c>
      <c r="E2" s="60" t="s">
        <v>129</v>
      </c>
      <c r="F2" s="61"/>
      <c r="G2" s="6"/>
      <c r="H2" s="6"/>
      <c r="I2" s="6"/>
      <c r="J2" s="6"/>
      <c r="K2" s="6"/>
      <c r="L2" s="6"/>
      <c r="M2" s="6"/>
      <c r="N2" s="62"/>
      <c r="O2" s="60" t="s">
        <v>125</v>
      </c>
      <c r="P2" s="60" t="s">
        <v>126</v>
      </c>
      <c r="Q2" s="60" t="s">
        <v>127</v>
      </c>
      <c r="R2" s="60" t="s">
        <v>128</v>
      </c>
      <c r="S2" s="60" t="s">
        <v>129</v>
      </c>
      <c r="U2" s="19" t="s">
        <v>51</v>
      </c>
    </row>
    <row r="3">
      <c r="A3" s="63"/>
      <c r="B3" s="36"/>
      <c r="C3" s="64"/>
      <c r="D3" s="64"/>
      <c r="E3" s="64"/>
      <c r="F3" s="65"/>
      <c r="G3" s="6" t="s">
        <v>130</v>
      </c>
      <c r="H3" s="66" t="s">
        <v>131</v>
      </c>
      <c r="I3" s="52"/>
      <c r="J3" s="67">
        <f>J130+J132+J134+J136+J138</f>
        <v>6645.99</v>
      </c>
      <c r="K3" s="66" t="s">
        <v>132</v>
      </c>
      <c r="L3" s="52"/>
      <c r="M3" s="67">
        <f>M130+M132+M134+M136+M138</f>
        <v>1319.28</v>
      </c>
      <c r="N3" s="6"/>
      <c r="O3" s="63"/>
      <c r="P3" s="36"/>
      <c r="Q3" s="64"/>
      <c r="R3" s="64"/>
      <c r="S3" s="64"/>
    </row>
    <row r="4">
      <c r="A4" s="68">
        <v>45957.0</v>
      </c>
      <c r="B4" s="69" t="s">
        <v>133</v>
      </c>
      <c r="C4" s="70">
        <v>14602.2</v>
      </c>
      <c r="D4" s="70">
        <v>12110.08</v>
      </c>
      <c r="E4" s="71">
        <f t="shared" ref="E4:E5" si="1">C4-D4</f>
        <v>2492.12</v>
      </c>
      <c r="F4" s="65"/>
      <c r="G4" s="6"/>
      <c r="H4" s="6"/>
      <c r="I4" s="6"/>
      <c r="J4" s="6"/>
      <c r="K4" s="6"/>
      <c r="L4" s="6"/>
      <c r="M4" s="6"/>
      <c r="N4" s="6"/>
      <c r="O4" s="72">
        <v>45809.0</v>
      </c>
      <c r="P4" s="73" t="s">
        <v>133</v>
      </c>
      <c r="Q4" s="74">
        <v>6412.2</v>
      </c>
      <c r="R4" s="74">
        <v>6777.4</v>
      </c>
      <c r="S4" s="74">
        <v>-365.2</v>
      </c>
    </row>
    <row r="5">
      <c r="A5" s="6"/>
      <c r="B5" s="69" t="s">
        <v>134</v>
      </c>
      <c r="C5" s="70">
        <v>11823.35</v>
      </c>
      <c r="D5" s="70">
        <v>11878.93</v>
      </c>
      <c r="E5" s="75">
        <f t="shared" si="1"/>
        <v>-55.58</v>
      </c>
      <c r="F5" s="6"/>
      <c r="G5" s="6"/>
      <c r="H5" s="76" t="s">
        <v>135</v>
      </c>
      <c r="I5" s="51"/>
      <c r="J5" s="52"/>
      <c r="K5" s="77">
        <f>J3+M3</f>
        <v>7965.27</v>
      </c>
      <c r="L5" s="6"/>
      <c r="M5" s="6"/>
      <c r="N5" s="6"/>
      <c r="O5" s="6"/>
      <c r="P5" s="73" t="s">
        <v>134</v>
      </c>
      <c r="Q5" s="74">
        <v>8354.9</v>
      </c>
      <c r="R5" s="74">
        <v>9385.8</v>
      </c>
      <c r="S5" s="74">
        <v>-1030.9</v>
      </c>
    </row>
    <row r="6">
      <c r="A6" s="6"/>
      <c r="B6" s="6"/>
      <c r="C6" s="78" t="s">
        <v>136</v>
      </c>
      <c r="D6" s="52"/>
      <c r="E6" s="71">
        <f>E4+E5</f>
        <v>2436.54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78" t="s">
        <v>136</v>
      </c>
      <c r="R6" s="52"/>
      <c r="S6" s="75">
        <f>S4+S5</f>
        <v>-1396.1</v>
      </c>
    </row>
    <row r="7">
      <c r="A7" s="6"/>
      <c r="B7" s="6"/>
      <c r="C7" s="6"/>
      <c r="D7" s="6"/>
      <c r="E7" s="6"/>
      <c r="F7" s="6"/>
      <c r="G7" s="79" t="s">
        <v>125</v>
      </c>
      <c r="H7" s="80" t="s">
        <v>137</v>
      </c>
      <c r="I7" s="81"/>
      <c r="J7" s="82"/>
      <c r="K7" s="83" t="s">
        <v>138</v>
      </c>
      <c r="L7" s="84"/>
      <c r="M7" s="85"/>
      <c r="N7" s="6"/>
      <c r="O7" s="6"/>
      <c r="P7" s="6"/>
      <c r="Q7" s="6"/>
      <c r="R7" s="6"/>
      <c r="S7" s="6"/>
    </row>
    <row r="8">
      <c r="A8" s="86" t="s">
        <v>42</v>
      </c>
      <c r="B8" s="87"/>
      <c r="C8" s="87"/>
      <c r="D8" s="87"/>
      <c r="E8" s="88"/>
      <c r="F8" s="6"/>
      <c r="G8" s="89"/>
      <c r="H8" s="90" t="s">
        <v>139</v>
      </c>
      <c r="I8" s="90" t="s">
        <v>140</v>
      </c>
      <c r="J8" s="90" t="s">
        <v>141</v>
      </c>
      <c r="K8" s="90" t="s">
        <v>139</v>
      </c>
      <c r="L8" s="90" t="s">
        <v>140</v>
      </c>
      <c r="M8" s="90" t="s">
        <v>141</v>
      </c>
      <c r="N8" s="6"/>
      <c r="O8" s="86" t="s">
        <v>42</v>
      </c>
      <c r="P8" s="87"/>
      <c r="Q8" s="87"/>
      <c r="R8" s="87"/>
      <c r="S8" s="88"/>
    </row>
    <row r="9">
      <c r="A9" s="6"/>
      <c r="B9" s="6"/>
      <c r="C9" s="6"/>
      <c r="D9" s="6"/>
      <c r="E9" s="6"/>
      <c r="F9" s="6"/>
      <c r="G9" s="6"/>
      <c r="H9" s="36"/>
      <c r="I9" s="36"/>
      <c r="J9" s="36"/>
      <c r="K9" s="6"/>
      <c r="L9" s="6"/>
      <c r="M9" s="6"/>
      <c r="N9" s="6"/>
      <c r="O9" s="6"/>
      <c r="P9" s="6"/>
      <c r="Q9" s="6"/>
      <c r="R9" s="6"/>
      <c r="S9" s="6"/>
    </row>
    <row r="10">
      <c r="A10" s="6"/>
      <c r="B10" s="6"/>
      <c r="C10" s="6"/>
      <c r="D10" s="6"/>
      <c r="E10" s="6"/>
      <c r="F10" s="6"/>
      <c r="G10" s="91">
        <v>45957.0</v>
      </c>
      <c r="H10" s="92">
        <v>11823.35</v>
      </c>
      <c r="I10" s="92">
        <v>11878.93</v>
      </c>
      <c r="J10" s="93">
        <v>-55.57999999999993</v>
      </c>
      <c r="K10" s="92">
        <v>14602.2</v>
      </c>
      <c r="L10" s="92">
        <v>12110.08</v>
      </c>
      <c r="M10" s="93">
        <v>2492.120000000001</v>
      </c>
      <c r="N10" s="6"/>
      <c r="O10" s="6"/>
      <c r="P10" s="6"/>
      <c r="Q10" s="6"/>
      <c r="R10" s="6"/>
      <c r="S10" s="6"/>
    </row>
    <row r="11">
      <c r="A11" s="6"/>
      <c r="B11" s="6"/>
      <c r="C11" s="6"/>
      <c r="D11" s="6"/>
      <c r="E11" s="6"/>
      <c r="F11" s="6"/>
      <c r="G11" s="91"/>
      <c r="H11" s="92"/>
      <c r="I11" s="92"/>
      <c r="J11" s="93"/>
      <c r="K11" s="92"/>
      <c r="L11" s="92"/>
      <c r="M11" s="93"/>
      <c r="N11" s="6"/>
      <c r="O11" s="6"/>
      <c r="P11" s="6"/>
      <c r="Q11" s="6"/>
      <c r="R11" s="6"/>
      <c r="S11" s="6"/>
    </row>
    <row r="12">
      <c r="A12" s="6"/>
      <c r="B12" s="6"/>
      <c r="C12" s="6"/>
      <c r="D12" s="6"/>
      <c r="E12" s="6"/>
      <c r="F12" s="6"/>
      <c r="G12" s="91">
        <v>45954.0</v>
      </c>
      <c r="H12" s="92">
        <v>11768.28</v>
      </c>
      <c r="I12" s="92">
        <v>11146.77</v>
      </c>
      <c r="J12" s="93">
        <v>621.5100000000002</v>
      </c>
      <c r="K12" s="92">
        <v>12475.77</v>
      </c>
      <c r="L12" s="92">
        <v>12302.64</v>
      </c>
      <c r="M12" s="93">
        <v>173.13000000000102</v>
      </c>
      <c r="N12" s="6"/>
      <c r="O12" s="6"/>
      <c r="P12" s="6"/>
      <c r="Q12" s="6"/>
      <c r="R12" s="6"/>
      <c r="S12" s="6"/>
    </row>
    <row r="13">
      <c r="A13" s="6"/>
      <c r="B13" s="6"/>
      <c r="C13" s="6"/>
      <c r="D13" s="6"/>
      <c r="E13" s="6"/>
      <c r="F13" s="6"/>
      <c r="G13" s="91"/>
      <c r="H13" s="92"/>
      <c r="I13" s="92"/>
      <c r="J13" s="93"/>
      <c r="K13" s="92"/>
      <c r="L13" s="92"/>
      <c r="M13" s="93"/>
      <c r="N13" s="6"/>
      <c r="O13" s="6"/>
      <c r="P13" s="6"/>
      <c r="Q13" s="6"/>
      <c r="R13" s="6"/>
      <c r="S13" s="6"/>
    </row>
    <row r="14">
      <c r="A14" s="6"/>
      <c r="B14" s="6"/>
      <c r="C14" s="6"/>
      <c r="D14" s="6"/>
      <c r="E14" s="6"/>
      <c r="F14" s="6"/>
      <c r="G14" s="91">
        <v>45951.0</v>
      </c>
      <c r="H14" s="92">
        <v>622.39</v>
      </c>
      <c r="I14" s="92">
        <v>525.67</v>
      </c>
      <c r="J14" s="93">
        <v>96.72000000000003</v>
      </c>
      <c r="K14" s="92">
        <v>324.13</v>
      </c>
      <c r="L14" s="92">
        <v>931.14</v>
      </c>
      <c r="M14" s="93">
        <v>-607.01</v>
      </c>
      <c r="N14" s="6"/>
      <c r="O14" s="6"/>
      <c r="P14" s="6"/>
      <c r="Q14" s="6"/>
      <c r="R14" s="6"/>
      <c r="S14" s="6"/>
    </row>
    <row r="15">
      <c r="A15" s="6"/>
      <c r="B15" s="6"/>
      <c r="C15" s="6"/>
      <c r="D15" s="6"/>
      <c r="E15" s="6"/>
      <c r="F15" s="6"/>
      <c r="G15" s="91"/>
      <c r="H15" s="92"/>
      <c r="I15" s="92"/>
      <c r="J15" s="93"/>
      <c r="K15" s="92"/>
      <c r="L15" s="92"/>
      <c r="M15" s="93"/>
      <c r="N15" s="6"/>
      <c r="O15" s="6"/>
      <c r="P15" s="6"/>
      <c r="Q15" s="6"/>
      <c r="R15" s="6"/>
      <c r="S15" s="6"/>
    </row>
    <row r="16">
      <c r="A16" s="6"/>
      <c r="B16" s="6"/>
      <c r="C16" s="6"/>
      <c r="D16" s="6"/>
      <c r="E16" s="6"/>
      <c r="F16" s="6"/>
      <c r="G16" s="91">
        <v>45950.0</v>
      </c>
      <c r="H16" s="92">
        <v>11786.33</v>
      </c>
      <c r="I16" s="92">
        <v>10995.88</v>
      </c>
      <c r="J16" s="93">
        <v>790.4500000000007</v>
      </c>
      <c r="K16" s="92">
        <v>15690.37</v>
      </c>
      <c r="L16" s="92">
        <v>13204.91</v>
      </c>
      <c r="M16" s="93">
        <v>2485.460000000001</v>
      </c>
      <c r="N16" s="6"/>
      <c r="O16" s="6"/>
      <c r="P16" s="6"/>
      <c r="Q16" s="6"/>
      <c r="R16" s="6"/>
      <c r="S16" s="6"/>
    </row>
    <row r="17">
      <c r="A17" s="6"/>
      <c r="B17" s="6"/>
      <c r="C17" s="6"/>
      <c r="D17" s="6"/>
      <c r="E17" s="6"/>
      <c r="F17" s="6"/>
      <c r="G17" s="91"/>
      <c r="H17" s="92"/>
      <c r="I17" s="92"/>
      <c r="J17" s="93"/>
      <c r="K17" s="92"/>
      <c r="L17" s="92"/>
      <c r="M17" s="93"/>
      <c r="N17" s="6"/>
      <c r="O17" s="6"/>
      <c r="P17" s="6"/>
      <c r="Q17" s="6"/>
      <c r="R17" s="6"/>
      <c r="S17" s="6"/>
    </row>
    <row r="18">
      <c r="A18" s="6"/>
      <c r="B18" s="6"/>
      <c r="C18" s="6"/>
      <c r="D18" s="6"/>
      <c r="E18" s="6"/>
      <c r="F18" s="6"/>
      <c r="G18" s="91">
        <v>45947.0</v>
      </c>
      <c r="H18" s="92">
        <v>14505.27</v>
      </c>
      <c r="I18" s="92">
        <v>14196.29</v>
      </c>
      <c r="J18" s="93">
        <v>308.97999999999956</v>
      </c>
      <c r="K18" s="92">
        <v>16860.39</v>
      </c>
      <c r="L18" s="92">
        <v>15333.78</v>
      </c>
      <c r="M18" s="93">
        <v>1526.6099999999988</v>
      </c>
      <c r="N18" s="6"/>
      <c r="O18" s="6"/>
      <c r="P18" s="6"/>
      <c r="Q18" s="6"/>
      <c r="R18" s="6"/>
      <c r="S18" s="6"/>
    </row>
    <row r="19">
      <c r="A19" s="6"/>
      <c r="B19" s="6"/>
      <c r="C19" s="6"/>
      <c r="D19" s="6"/>
      <c r="E19" s="6"/>
      <c r="F19" s="6"/>
      <c r="G19" s="91"/>
      <c r="H19" s="92"/>
      <c r="I19" s="92"/>
      <c r="J19" s="93"/>
      <c r="K19" s="92"/>
      <c r="L19" s="92"/>
      <c r="M19" s="93"/>
      <c r="N19" s="6"/>
      <c r="O19" s="6"/>
      <c r="P19" s="6"/>
      <c r="Q19" s="6"/>
      <c r="R19" s="6"/>
      <c r="S19" s="6"/>
    </row>
    <row r="20">
      <c r="A20" s="6"/>
      <c r="B20" s="6"/>
      <c r="C20" s="6"/>
      <c r="D20" s="6"/>
      <c r="E20" s="6"/>
      <c r="F20" s="6"/>
      <c r="G20" s="91">
        <v>45946.0</v>
      </c>
      <c r="H20" s="92">
        <v>14739.14</v>
      </c>
      <c r="I20" s="92">
        <v>13741.85</v>
      </c>
      <c r="J20" s="93">
        <v>997.289999999999</v>
      </c>
      <c r="K20" s="92">
        <v>19840.85</v>
      </c>
      <c r="L20" s="92">
        <v>15764.65</v>
      </c>
      <c r="M20" s="93">
        <v>4076.199999999999</v>
      </c>
      <c r="N20" s="6"/>
      <c r="O20" s="6"/>
      <c r="P20" s="6"/>
      <c r="Q20" s="6"/>
      <c r="R20" s="6"/>
      <c r="S20" s="6"/>
    </row>
    <row r="21">
      <c r="A21" s="6"/>
      <c r="B21" s="6"/>
      <c r="C21" s="6"/>
      <c r="D21" s="6"/>
      <c r="E21" s="6"/>
      <c r="F21" s="6"/>
      <c r="G21" s="91"/>
      <c r="H21" s="92"/>
      <c r="I21" s="92"/>
      <c r="J21" s="93"/>
      <c r="K21" s="92"/>
      <c r="L21" s="92"/>
      <c r="M21" s="93"/>
      <c r="N21" s="6"/>
      <c r="O21" s="6"/>
      <c r="P21" s="6"/>
      <c r="Q21" s="6"/>
      <c r="R21" s="6"/>
      <c r="S21" s="6"/>
    </row>
    <row r="22">
      <c r="A22" s="6"/>
      <c r="B22" s="6"/>
      <c r="C22" s="6"/>
      <c r="D22" s="6"/>
      <c r="E22" s="6"/>
      <c r="F22" s="6"/>
      <c r="G22" s="91">
        <v>45945.0</v>
      </c>
      <c r="H22" s="92">
        <v>14013.54</v>
      </c>
      <c r="I22" s="92">
        <v>13944.9</v>
      </c>
      <c r="J22" s="93">
        <v>68.64000000000124</v>
      </c>
      <c r="K22" s="92">
        <v>16214.69</v>
      </c>
      <c r="L22" s="92">
        <v>11564.61</v>
      </c>
      <c r="M22" s="93">
        <v>4650.08</v>
      </c>
      <c r="N22" s="6"/>
      <c r="O22" s="6"/>
      <c r="P22" s="6"/>
      <c r="Q22" s="6"/>
      <c r="R22" s="6"/>
      <c r="S22" s="6"/>
    </row>
    <row r="23">
      <c r="A23" s="6"/>
      <c r="B23" s="6"/>
      <c r="C23" s="6"/>
      <c r="D23" s="6"/>
      <c r="E23" s="6"/>
      <c r="F23" s="6"/>
      <c r="G23" s="91"/>
      <c r="H23" s="92"/>
      <c r="I23" s="92"/>
      <c r="J23" s="93"/>
      <c r="K23" s="92"/>
      <c r="L23" s="92"/>
      <c r="M23" s="93"/>
      <c r="N23" s="6"/>
      <c r="O23" s="6"/>
      <c r="P23" s="6"/>
      <c r="Q23" s="6"/>
      <c r="R23" s="6"/>
      <c r="S23" s="6"/>
    </row>
    <row r="24">
      <c r="A24" s="6"/>
      <c r="B24" s="6"/>
      <c r="C24" s="6"/>
      <c r="D24" s="6"/>
      <c r="E24" s="6"/>
      <c r="F24" s="6"/>
      <c r="G24" s="91">
        <v>45944.0</v>
      </c>
      <c r="H24" s="92">
        <v>10847.86</v>
      </c>
      <c r="I24" s="92">
        <v>12356.39</v>
      </c>
      <c r="J24" s="93">
        <v>-1508.5299999999988</v>
      </c>
      <c r="K24" s="92">
        <v>16384.5</v>
      </c>
      <c r="L24" s="92">
        <v>12723.37</v>
      </c>
      <c r="M24" s="93">
        <v>3661.129999999999</v>
      </c>
      <c r="N24" s="6"/>
      <c r="O24" s="6"/>
      <c r="P24" s="6"/>
      <c r="Q24" s="6"/>
      <c r="R24" s="6"/>
      <c r="S24" s="6"/>
    </row>
    <row r="25">
      <c r="A25" s="6"/>
      <c r="B25" s="6"/>
      <c r="C25" s="6"/>
      <c r="D25" s="6"/>
      <c r="E25" s="6"/>
      <c r="F25" s="6"/>
      <c r="G25" s="91"/>
      <c r="H25" s="92"/>
      <c r="I25" s="92"/>
      <c r="J25" s="93"/>
      <c r="K25" s="92"/>
      <c r="L25" s="92"/>
      <c r="M25" s="93"/>
      <c r="N25" s="6"/>
      <c r="O25" s="6"/>
      <c r="P25" s="6"/>
      <c r="Q25" s="6"/>
      <c r="R25" s="6"/>
      <c r="S25" s="6"/>
    </row>
    <row r="26">
      <c r="A26" s="6"/>
      <c r="B26" s="6"/>
      <c r="C26" s="6"/>
      <c r="D26" s="6"/>
      <c r="E26" s="6"/>
      <c r="F26" s="6"/>
      <c r="G26" s="91">
        <v>45943.0</v>
      </c>
      <c r="H26" s="92">
        <v>8085.41</v>
      </c>
      <c r="I26" s="92">
        <v>8325.51</v>
      </c>
      <c r="J26" s="93">
        <v>-240.10000000000036</v>
      </c>
      <c r="K26" s="92">
        <v>14960.78</v>
      </c>
      <c r="L26" s="92">
        <v>12627.36</v>
      </c>
      <c r="M26" s="93">
        <v>2333.42</v>
      </c>
      <c r="N26" s="6"/>
      <c r="O26" s="6"/>
      <c r="P26" s="6"/>
      <c r="Q26" s="6"/>
      <c r="R26" s="6"/>
      <c r="S26" s="6"/>
    </row>
    <row r="27">
      <c r="A27" s="6"/>
      <c r="B27" s="6"/>
      <c r="C27" s="6"/>
      <c r="D27" s="6"/>
      <c r="E27" s="6"/>
      <c r="F27" s="6"/>
      <c r="G27" s="91"/>
      <c r="H27" s="92"/>
      <c r="I27" s="92"/>
      <c r="J27" s="93"/>
      <c r="K27" s="92"/>
      <c r="L27" s="92"/>
      <c r="M27" s="93"/>
      <c r="N27" s="6"/>
      <c r="O27" s="6"/>
      <c r="P27" s="6"/>
      <c r="Q27" s="6"/>
      <c r="R27" s="6"/>
      <c r="S27" s="6"/>
    </row>
    <row r="28">
      <c r="A28" s="6"/>
      <c r="B28" s="6"/>
      <c r="C28" s="6"/>
      <c r="D28" s="6"/>
      <c r="E28" s="6"/>
      <c r="F28" s="6"/>
      <c r="G28" s="91">
        <v>45940.0</v>
      </c>
      <c r="H28" s="92">
        <v>10236.07</v>
      </c>
      <c r="I28" s="92">
        <v>9776.87</v>
      </c>
      <c r="J28" s="93">
        <v>459.1999999999989</v>
      </c>
      <c r="K28" s="92">
        <v>12760.06</v>
      </c>
      <c r="L28" s="92">
        <v>11052.23</v>
      </c>
      <c r="M28" s="93">
        <v>1707.83</v>
      </c>
      <c r="N28" s="6"/>
      <c r="O28" s="6"/>
      <c r="P28" s="6"/>
      <c r="Q28" s="6"/>
      <c r="R28" s="6"/>
      <c r="S28" s="6"/>
    </row>
    <row r="29">
      <c r="A29" s="6"/>
      <c r="B29" s="6"/>
      <c r="C29" s="6"/>
      <c r="D29" s="6"/>
      <c r="E29" s="6"/>
      <c r="F29" s="6"/>
      <c r="G29" s="91"/>
      <c r="H29" s="92"/>
      <c r="I29" s="92"/>
      <c r="J29" s="93"/>
      <c r="K29" s="92"/>
      <c r="L29" s="92"/>
      <c r="M29" s="93"/>
      <c r="N29" s="6"/>
      <c r="O29" s="6"/>
      <c r="P29" s="6"/>
      <c r="Q29" s="6"/>
      <c r="R29" s="6"/>
      <c r="S29" s="6"/>
    </row>
    <row r="30">
      <c r="A30" s="6"/>
      <c r="B30" s="6"/>
      <c r="C30" s="6"/>
      <c r="D30" s="6"/>
      <c r="E30" s="6"/>
      <c r="F30" s="6"/>
      <c r="G30" s="91">
        <v>45938.0</v>
      </c>
      <c r="H30" s="92">
        <v>10286.98</v>
      </c>
      <c r="I30" s="92">
        <v>10205.7</v>
      </c>
      <c r="J30" s="93">
        <v>81.27999999999884</v>
      </c>
      <c r="K30" s="92">
        <v>11733.48</v>
      </c>
      <c r="L30" s="92">
        <v>11403.52</v>
      </c>
      <c r="M30" s="93">
        <v>329.9599999999991</v>
      </c>
      <c r="N30" s="6"/>
      <c r="O30" s="6"/>
      <c r="P30" s="6"/>
      <c r="Q30" s="6"/>
      <c r="R30" s="6"/>
      <c r="S30" s="6"/>
    </row>
    <row r="31">
      <c r="A31" s="6"/>
      <c r="B31" s="6"/>
      <c r="C31" s="6"/>
      <c r="D31" s="6"/>
      <c r="E31" s="6"/>
      <c r="F31" s="6"/>
      <c r="G31" s="91"/>
      <c r="H31" s="92"/>
      <c r="I31" s="92"/>
      <c r="J31" s="93"/>
      <c r="K31" s="92"/>
      <c r="L31" s="92"/>
      <c r="M31" s="93"/>
      <c r="N31" s="6"/>
      <c r="O31" s="6"/>
      <c r="P31" s="6"/>
      <c r="Q31" s="6"/>
      <c r="R31" s="6"/>
      <c r="S31" s="6"/>
    </row>
    <row r="32">
      <c r="A32" s="6"/>
      <c r="B32" s="6"/>
      <c r="C32" s="6"/>
      <c r="D32" s="6"/>
      <c r="E32" s="6"/>
      <c r="F32" s="6"/>
      <c r="G32" s="91">
        <v>45937.0</v>
      </c>
      <c r="H32" s="92">
        <v>11542.97</v>
      </c>
      <c r="I32" s="92">
        <v>10102.31</v>
      </c>
      <c r="J32" s="93">
        <v>1440.6599999999999</v>
      </c>
      <c r="K32" s="92">
        <v>15953.11</v>
      </c>
      <c r="L32" s="92">
        <v>15500.54</v>
      </c>
      <c r="M32" s="93">
        <v>452.5699999999997</v>
      </c>
      <c r="N32" s="6"/>
      <c r="O32" s="6"/>
      <c r="P32" s="6"/>
      <c r="Q32" s="6"/>
      <c r="R32" s="6"/>
      <c r="S32" s="6"/>
    </row>
    <row r="33">
      <c r="A33" s="6"/>
      <c r="B33" s="6"/>
      <c r="C33" s="6"/>
      <c r="D33" s="6"/>
      <c r="E33" s="6"/>
      <c r="F33" s="6"/>
      <c r="G33" s="91"/>
      <c r="H33" s="92"/>
      <c r="I33" s="92"/>
      <c r="J33" s="93"/>
      <c r="K33" s="92"/>
      <c r="L33" s="92"/>
      <c r="M33" s="93"/>
      <c r="N33" s="6"/>
      <c r="O33" s="6"/>
      <c r="P33" s="6"/>
      <c r="Q33" s="6"/>
      <c r="R33" s="6"/>
      <c r="S33" s="6"/>
    </row>
    <row r="34">
      <c r="A34" s="6"/>
      <c r="B34" s="6"/>
      <c r="C34" s="6"/>
      <c r="D34" s="6"/>
      <c r="E34" s="6"/>
      <c r="F34" s="6"/>
      <c r="G34" s="91">
        <v>45936.0</v>
      </c>
      <c r="H34" s="92">
        <v>10950.18</v>
      </c>
      <c r="I34" s="92">
        <v>11263.95</v>
      </c>
      <c r="J34" s="93">
        <v>-313.77000000000044</v>
      </c>
      <c r="K34" s="92">
        <v>16124.47</v>
      </c>
      <c r="L34" s="92">
        <v>11088.08</v>
      </c>
      <c r="M34" s="93">
        <v>5036.389999999999</v>
      </c>
      <c r="N34" s="6"/>
      <c r="O34" s="6"/>
      <c r="P34" s="6"/>
      <c r="Q34" s="6"/>
      <c r="R34" s="6"/>
      <c r="S34" s="6"/>
    </row>
    <row r="35">
      <c r="A35" s="6"/>
      <c r="B35" s="6"/>
      <c r="C35" s="6"/>
      <c r="D35" s="6"/>
      <c r="E35" s="6"/>
      <c r="F35" s="6"/>
      <c r="G35" s="91"/>
      <c r="H35" s="92"/>
      <c r="I35" s="92"/>
      <c r="J35" s="93"/>
      <c r="K35" s="92"/>
      <c r="L35" s="92"/>
      <c r="M35" s="93"/>
      <c r="N35" s="6"/>
      <c r="O35" s="6"/>
      <c r="P35" s="6"/>
      <c r="Q35" s="6"/>
      <c r="R35" s="6"/>
      <c r="S35" s="6"/>
    </row>
    <row r="36">
      <c r="A36" s="6"/>
      <c r="B36" s="6"/>
      <c r="C36" s="6"/>
      <c r="D36" s="6"/>
      <c r="E36" s="6"/>
      <c r="F36" s="6"/>
      <c r="G36" s="91">
        <v>45933.0</v>
      </c>
      <c r="H36" s="92">
        <v>16898.78</v>
      </c>
      <c r="I36" s="92">
        <v>18482.15</v>
      </c>
      <c r="J36" s="93">
        <v>-1583.3700000000026</v>
      </c>
      <c r="K36" s="92">
        <v>14005.39</v>
      </c>
      <c r="L36" s="92">
        <v>13515.63</v>
      </c>
      <c r="M36" s="93">
        <v>489.7600000000002</v>
      </c>
      <c r="N36" s="6"/>
      <c r="O36" s="6"/>
      <c r="P36" s="6"/>
      <c r="Q36" s="6"/>
      <c r="R36" s="6"/>
      <c r="S36" s="6"/>
    </row>
    <row r="37">
      <c r="A37" s="6"/>
      <c r="B37" s="6"/>
      <c r="C37" s="6"/>
      <c r="D37" s="6"/>
      <c r="E37" s="6"/>
      <c r="F37" s="6"/>
      <c r="G37" s="91"/>
      <c r="H37" s="92"/>
      <c r="I37" s="92"/>
      <c r="J37" s="93"/>
      <c r="K37" s="92"/>
      <c r="L37" s="92"/>
      <c r="M37" s="93"/>
      <c r="N37" s="6"/>
      <c r="O37" s="6"/>
      <c r="P37" s="6"/>
      <c r="Q37" s="6"/>
      <c r="R37" s="6"/>
      <c r="S37" s="6"/>
    </row>
    <row r="38">
      <c r="A38" s="6"/>
      <c r="B38" s="6"/>
      <c r="C38" s="6"/>
      <c r="D38" s="6"/>
      <c r="E38" s="6"/>
      <c r="F38" s="6"/>
      <c r="G38" s="91">
        <v>45931.0</v>
      </c>
      <c r="H38" s="92">
        <v>12378.32</v>
      </c>
      <c r="I38" s="92">
        <v>13983.52</v>
      </c>
      <c r="J38" s="93">
        <v>-1605.2000000000007</v>
      </c>
      <c r="K38" s="92">
        <v>15383.78</v>
      </c>
      <c r="L38" s="92">
        <v>12467.64</v>
      </c>
      <c r="M38" s="93">
        <v>2916.1400000000012</v>
      </c>
      <c r="N38" s="6"/>
      <c r="O38" s="6"/>
      <c r="P38" s="6"/>
      <c r="Q38" s="6"/>
      <c r="R38" s="6"/>
      <c r="S38" s="6"/>
    </row>
    <row r="39">
      <c r="A39" s="6"/>
      <c r="B39" s="6"/>
      <c r="C39" s="6"/>
      <c r="D39" s="6"/>
      <c r="E39" s="6"/>
      <c r="F39" s="6"/>
      <c r="G39" s="91"/>
      <c r="H39" s="92"/>
      <c r="I39" s="92"/>
      <c r="J39" s="93"/>
      <c r="K39" s="92"/>
      <c r="L39" s="92"/>
      <c r="M39" s="93"/>
      <c r="N39" s="6"/>
      <c r="O39" s="6"/>
      <c r="P39" s="6"/>
      <c r="Q39" s="6"/>
      <c r="R39" s="6"/>
      <c r="S39" s="6"/>
    </row>
    <row r="40">
      <c r="A40" s="6"/>
      <c r="B40" s="6"/>
      <c r="C40" s="6"/>
      <c r="D40" s="6"/>
      <c r="E40" s="6"/>
      <c r="F40" s="6"/>
      <c r="G40" s="91">
        <v>45929.0</v>
      </c>
      <c r="H40" s="92">
        <v>17421.42</v>
      </c>
      <c r="I40" s="92">
        <v>20253.01</v>
      </c>
      <c r="J40" s="93">
        <v>-2831.59</v>
      </c>
      <c r="K40" s="92">
        <v>40256.98</v>
      </c>
      <c r="L40" s="92">
        <v>36411.11</v>
      </c>
      <c r="M40" s="93">
        <v>3845.8700000000026</v>
      </c>
      <c r="N40" s="6"/>
      <c r="O40" s="6"/>
      <c r="P40" s="6"/>
      <c r="Q40" s="6"/>
      <c r="R40" s="6"/>
      <c r="S40" s="6"/>
    </row>
    <row r="41">
      <c r="A41" s="6"/>
      <c r="B41" s="6"/>
      <c r="C41" s="6"/>
      <c r="D41" s="6"/>
      <c r="E41" s="6"/>
      <c r="F41" s="6"/>
      <c r="G41" s="91"/>
      <c r="H41" s="92"/>
      <c r="I41" s="92"/>
      <c r="J41" s="93"/>
      <c r="K41" s="92"/>
      <c r="L41" s="92"/>
      <c r="M41" s="93"/>
      <c r="N41" s="6"/>
      <c r="O41" s="6"/>
      <c r="P41" s="6"/>
      <c r="Q41" s="6"/>
      <c r="R41" s="6"/>
      <c r="S41" s="6"/>
    </row>
    <row r="42">
      <c r="A42" s="6"/>
      <c r="B42" s="6"/>
      <c r="C42" s="6"/>
      <c r="D42" s="6"/>
      <c r="E42" s="6"/>
      <c r="F42" s="6"/>
      <c r="G42" s="91">
        <v>45926.0</v>
      </c>
      <c r="H42" s="92">
        <v>10751.34</v>
      </c>
      <c r="I42" s="92">
        <v>16438.92</v>
      </c>
      <c r="J42" s="93">
        <v>-5687.579999999998</v>
      </c>
      <c r="K42" s="92">
        <v>17766.67</v>
      </c>
      <c r="L42" s="92">
        <v>11923.46</v>
      </c>
      <c r="M42" s="93">
        <v>5843.209999999999</v>
      </c>
      <c r="N42" s="6"/>
      <c r="O42" s="6"/>
      <c r="P42" s="6"/>
      <c r="Q42" s="6"/>
      <c r="R42" s="6"/>
      <c r="S42" s="6"/>
    </row>
    <row r="43">
      <c r="A43" s="6"/>
      <c r="B43" s="6"/>
      <c r="C43" s="6"/>
      <c r="D43" s="6"/>
      <c r="E43" s="6"/>
      <c r="F43" s="6"/>
      <c r="G43" s="91"/>
      <c r="H43" s="92"/>
      <c r="I43" s="92"/>
      <c r="J43" s="93"/>
      <c r="K43" s="92"/>
      <c r="L43" s="92"/>
      <c r="M43" s="93"/>
      <c r="N43" s="6"/>
      <c r="O43" s="6"/>
      <c r="P43" s="6"/>
      <c r="Q43" s="6"/>
      <c r="R43" s="6"/>
      <c r="S43" s="6"/>
    </row>
    <row r="44">
      <c r="A44" s="6"/>
      <c r="B44" s="6"/>
      <c r="C44" s="6"/>
      <c r="D44" s="6"/>
      <c r="E44" s="6"/>
      <c r="F44" s="6"/>
      <c r="G44" s="91">
        <v>45924.0</v>
      </c>
      <c r="H44" s="92">
        <v>11089.16</v>
      </c>
      <c r="I44" s="92">
        <v>13514.91</v>
      </c>
      <c r="J44" s="93">
        <v>-2425.75</v>
      </c>
      <c r="K44" s="92">
        <v>12632.38</v>
      </c>
      <c r="L44" s="92">
        <v>11420.7</v>
      </c>
      <c r="M44" s="93">
        <v>1211.6799999999985</v>
      </c>
      <c r="N44" s="6"/>
      <c r="O44" s="6"/>
      <c r="P44" s="6"/>
      <c r="Q44" s="6"/>
      <c r="R44" s="6"/>
      <c r="S44" s="6"/>
    </row>
    <row r="45">
      <c r="A45" s="6"/>
      <c r="B45" s="6"/>
      <c r="C45" s="6"/>
      <c r="D45" s="6"/>
      <c r="E45" s="6"/>
      <c r="F45" s="6"/>
      <c r="G45" s="91"/>
      <c r="H45" s="92"/>
      <c r="I45" s="92"/>
      <c r="J45" s="93"/>
      <c r="K45" s="92"/>
      <c r="L45" s="92"/>
      <c r="M45" s="93"/>
      <c r="N45" s="6"/>
      <c r="O45" s="6"/>
      <c r="P45" s="6"/>
      <c r="Q45" s="6"/>
      <c r="R45" s="6"/>
      <c r="S45" s="6"/>
    </row>
    <row r="46">
      <c r="A46" s="6"/>
      <c r="B46" s="6"/>
      <c r="C46" s="6"/>
      <c r="D46" s="6"/>
      <c r="E46" s="6"/>
      <c r="F46" s="6"/>
      <c r="G46" s="91">
        <v>45923.0</v>
      </c>
      <c r="H46" s="92">
        <v>12222.3</v>
      </c>
      <c r="I46" s="92">
        <v>15773.49</v>
      </c>
      <c r="J46" s="93">
        <v>-3551.1900000000005</v>
      </c>
      <c r="K46" s="92">
        <v>13525.73</v>
      </c>
      <c r="L46" s="92">
        <v>10854.86</v>
      </c>
      <c r="M46" s="93">
        <v>2670.869999999999</v>
      </c>
      <c r="N46" s="6"/>
      <c r="O46" s="6"/>
      <c r="P46" s="6"/>
      <c r="Q46" s="6"/>
      <c r="R46" s="6"/>
      <c r="S46" s="6"/>
    </row>
    <row r="47">
      <c r="A47" s="6"/>
      <c r="B47" s="6"/>
      <c r="C47" s="6"/>
      <c r="D47" s="6"/>
      <c r="E47" s="6"/>
      <c r="F47" s="6"/>
      <c r="G47" s="91"/>
      <c r="H47" s="92"/>
      <c r="I47" s="92"/>
      <c r="J47" s="93"/>
      <c r="K47" s="92"/>
      <c r="L47" s="92"/>
      <c r="M47" s="93"/>
      <c r="N47" s="6"/>
      <c r="O47" s="6"/>
      <c r="P47" s="6"/>
      <c r="Q47" s="6"/>
      <c r="R47" s="6"/>
      <c r="S47" s="6"/>
    </row>
    <row r="48">
      <c r="A48" s="6"/>
      <c r="B48" s="6"/>
      <c r="C48" s="6"/>
      <c r="D48" s="6"/>
      <c r="E48" s="6"/>
      <c r="F48" s="6"/>
      <c r="G48" s="91">
        <v>45922.0</v>
      </c>
      <c r="H48" s="92">
        <v>9544.69</v>
      </c>
      <c r="I48" s="92">
        <v>12454.78</v>
      </c>
      <c r="J48" s="93">
        <v>-2910.09</v>
      </c>
      <c r="K48" s="92">
        <v>12715.96</v>
      </c>
      <c r="L48" s="92">
        <v>10133.33</v>
      </c>
      <c r="M48" s="93">
        <v>2582.629999999999</v>
      </c>
      <c r="N48" s="6"/>
      <c r="O48" s="6"/>
      <c r="P48" s="6"/>
      <c r="Q48" s="6"/>
      <c r="R48" s="6"/>
      <c r="S48" s="6"/>
    </row>
    <row r="49">
      <c r="A49" s="6"/>
      <c r="B49" s="6"/>
      <c r="C49" s="6"/>
      <c r="D49" s="6"/>
      <c r="E49" s="6"/>
      <c r="F49" s="6"/>
      <c r="G49" s="91"/>
      <c r="H49" s="92"/>
      <c r="I49" s="92"/>
      <c r="J49" s="93"/>
      <c r="K49" s="92"/>
      <c r="L49" s="92"/>
      <c r="M49" s="93"/>
      <c r="N49" s="6"/>
      <c r="O49" s="6"/>
      <c r="P49" s="6"/>
      <c r="Q49" s="6"/>
      <c r="R49" s="6"/>
      <c r="S49" s="6"/>
    </row>
    <row r="50">
      <c r="A50" s="6"/>
      <c r="B50" s="6"/>
      <c r="C50" s="6"/>
      <c r="D50" s="6"/>
      <c r="E50" s="6"/>
      <c r="F50" s="6"/>
      <c r="G50" s="91">
        <v>45919.0</v>
      </c>
      <c r="H50" s="92">
        <v>37090.98</v>
      </c>
      <c r="I50" s="92">
        <v>36700.24</v>
      </c>
      <c r="J50" s="93">
        <v>390.74000000000524</v>
      </c>
      <c r="K50" s="92">
        <v>14840.35</v>
      </c>
      <c r="L50" s="92">
        <v>12735.13</v>
      </c>
      <c r="M50" s="93">
        <v>2105.220000000001</v>
      </c>
      <c r="N50" s="6"/>
      <c r="O50" s="6"/>
      <c r="P50" s="6"/>
      <c r="Q50" s="6"/>
      <c r="R50" s="6"/>
      <c r="S50" s="6"/>
    </row>
    <row r="51">
      <c r="A51" s="6"/>
      <c r="B51" s="6"/>
      <c r="C51" s="6"/>
      <c r="D51" s="6"/>
      <c r="E51" s="6"/>
      <c r="F51" s="6"/>
      <c r="G51" s="91"/>
      <c r="H51" s="92"/>
      <c r="I51" s="92"/>
      <c r="J51" s="93"/>
      <c r="K51" s="92"/>
      <c r="L51" s="92"/>
      <c r="M51" s="93"/>
      <c r="N51" s="6"/>
      <c r="O51" s="6"/>
      <c r="P51" s="6"/>
      <c r="Q51" s="6"/>
      <c r="R51" s="6"/>
      <c r="S51" s="6"/>
    </row>
    <row r="52">
      <c r="A52" s="6"/>
      <c r="B52" s="6"/>
      <c r="C52" s="6"/>
      <c r="D52" s="6"/>
      <c r="E52" s="6"/>
      <c r="F52" s="6"/>
      <c r="G52" s="91">
        <v>45917.0</v>
      </c>
      <c r="H52" s="92">
        <v>11509.41</v>
      </c>
      <c r="I52" s="92">
        <v>12633.95</v>
      </c>
      <c r="J52" s="93">
        <v>-1124.5400000000009</v>
      </c>
      <c r="K52" s="92">
        <v>13719.48</v>
      </c>
      <c r="L52" s="92">
        <v>11425.95</v>
      </c>
      <c r="M52" s="93">
        <v>2293.529999999999</v>
      </c>
      <c r="N52" s="6"/>
      <c r="O52" s="6"/>
      <c r="P52" s="6"/>
      <c r="Q52" s="6"/>
      <c r="R52" s="6"/>
      <c r="S52" s="6"/>
    </row>
    <row r="53">
      <c r="A53" s="6"/>
      <c r="B53" s="6"/>
      <c r="C53" s="6"/>
      <c r="D53" s="6"/>
      <c r="E53" s="6"/>
      <c r="F53" s="6"/>
      <c r="G53" s="91"/>
      <c r="H53" s="92"/>
      <c r="I53" s="92"/>
      <c r="J53" s="93"/>
      <c r="K53" s="92"/>
      <c r="L53" s="92"/>
      <c r="M53" s="93"/>
      <c r="N53" s="6"/>
      <c r="O53" s="6"/>
      <c r="P53" s="6"/>
      <c r="Q53" s="6"/>
      <c r="R53" s="6"/>
      <c r="S53" s="6"/>
    </row>
    <row r="54">
      <c r="A54" s="6"/>
      <c r="B54" s="6"/>
      <c r="C54" s="6"/>
      <c r="D54" s="6"/>
      <c r="E54" s="6"/>
      <c r="F54" s="6"/>
      <c r="G54" s="91">
        <v>45916.0</v>
      </c>
      <c r="H54" s="92">
        <v>11942.44</v>
      </c>
      <c r="I54" s="92">
        <v>11634.12</v>
      </c>
      <c r="J54" s="93">
        <v>308.3199999999997</v>
      </c>
      <c r="K54" s="92">
        <v>11643.46</v>
      </c>
      <c r="L54" s="92">
        <v>10124.73</v>
      </c>
      <c r="M54" s="93">
        <v>1518.7299999999996</v>
      </c>
      <c r="N54" s="6"/>
      <c r="O54" s="6"/>
      <c r="P54" s="6"/>
      <c r="Q54" s="6"/>
      <c r="R54" s="6"/>
      <c r="S54" s="6"/>
    </row>
    <row r="55">
      <c r="A55" s="6"/>
      <c r="B55" s="6"/>
      <c r="C55" s="6"/>
      <c r="D55" s="6"/>
      <c r="E55" s="6"/>
      <c r="F55" s="6"/>
      <c r="G55" s="91"/>
      <c r="H55" s="92"/>
      <c r="I55" s="92"/>
      <c r="J55" s="93"/>
      <c r="K55" s="92"/>
      <c r="L55" s="92"/>
      <c r="M55" s="93"/>
      <c r="N55" s="6"/>
      <c r="O55" s="6"/>
      <c r="P55" s="6"/>
      <c r="Q55" s="6"/>
      <c r="R55" s="6"/>
      <c r="S55" s="6"/>
    </row>
    <row r="56">
      <c r="A56" s="6"/>
      <c r="B56" s="6"/>
      <c r="C56" s="6"/>
      <c r="D56" s="6"/>
      <c r="E56" s="6"/>
      <c r="F56" s="6"/>
      <c r="G56" s="91">
        <v>45915.0</v>
      </c>
      <c r="H56" s="92">
        <v>8169.16</v>
      </c>
      <c r="I56" s="92">
        <v>9437.75</v>
      </c>
      <c r="J56" s="93">
        <v>-1268.5900000000001</v>
      </c>
      <c r="K56" s="92">
        <v>10173.17</v>
      </c>
      <c r="L56" s="92">
        <v>8239.84</v>
      </c>
      <c r="M56" s="93">
        <v>1933.33</v>
      </c>
      <c r="N56" s="6"/>
      <c r="O56" s="6"/>
      <c r="P56" s="6"/>
      <c r="Q56" s="6"/>
      <c r="R56" s="6"/>
      <c r="S56" s="6"/>
    </row>
    <row r="57">
      <c r="A57" s="6"/>
      <c r="B57" s="6"/>
      <c r="C57" s="6"/>
      <c r="D57" s="6"/>
      <c r="E57" s="6"/>
      <c r="F57" s="6"/>
      <c r="G57" s="91"/>
      <c r="H57" s="92"/>
      <c r="I57" s="92"/>
      <c r="J57" s="93"/>
      <c r="K57" s="92"/>
      <c r="L57" s="92"/>
      <c r="M57" s="93"/>
      <c r="N57" s="6"/>
      <c r="O57" s="6"/>
      <c r="P57" s="6"/>
      <c r="Q57" s="6"/>
      <c r="R57" s="6"/>
      <c r="S57" s="6"/>
    </row>
    <row r="58">
      <c r="A58" s="6"/>
      <c r="B58" s="6"/>
      <c r="C58" s="6"/>
      <c r="D58" s="6"/>
      <c r="E58" s="6"/>
      <c r="F58" s="6"/>
      <c r="G58" s="91">
        <v>45912.0</v>
      </c>
      <c r="H58" s="92">
        <v>11094.18</v>
      </c>
      <c r="I58" s="92">
        <v>10964.6</v>
      </c>
      <c r="J58" s="93">
        <v>129.57999999999993</v>
      </c>
      <c r="K58" s="92">
        <v>11675.26</v>
      </c>
      <c r="L58" s="92">
        <v>10119.24</v>
      </c>
      <c r="M58" s="93">
        <v>1556.0200000000004</v>
      </c>
      <c r="N58" s="6"/>
      <c r="O58" s="6"/>
      <c r="P58" s="6"/>
      <c r="Q58" s="6"/>
      <c r="R58" s="6"/>
      <c r="S58" s="6"/>
    </row>
    <row r="59">
      <c r="A59" s="6"/>
      <c r="B59" s="6"/>
      <c r="C59" s="6"/>
      <c r="D59" s="6"/>
      <c r="E59" s="6"/>
      <c r="F59" s="6"/>
      <c r="G59" s="91"/>
      <c r="H59" s="92"/>
      <c r="I59" s="92"/>
      <c r="J59" s="93"/>
      <c r="K59" s="92"/>
      <c r="L59" s="92"/>
      <c r="M59" s="93"/>
      <c r="N59" s="6"/>
      <c r="O59" s="6"/>
      <c r="P59" s="6"/>
      <c r="Q59" s="6"/>
      <c r="R59" s="6"/>
      <c r="S59" s="6"/>
    </row>
    <row r="60">
      <c r="A60" s="6"/>
      <c r="B60" s="6"/>
      <c r="C60" s="6"/>
      <c r="D60" s="6"/>
      <c r="E60" s="6"/>
      <c r="F60" s="6"/>
      <c r="G60" s="91">
        <v>45911.0</v>
      </c>
      <c r="H60" s="92">
        <v>10008.75</v>
      </c>
      <c r="I60" s="92">
        <v>13481.12</v>
      </c>
      <c r="J60" s="93">
        <v>-3472.370000000001</v>
      </c>
      <c r="K60" s="92">
        <v>14831.21</v>
      </c>
      <c r="L60" s="92">
        <v>10785.67</v>
      </c>
      <c r="M60" s="93">
        <v>4045.539999999999</v>
      </c>
      <c r="N60" s="6"/>
      <c r="O60" s="6"/>
      <c r="P60" s="6"/>
      <c r="Q60" s="6"/>
      <c r="R60" s="6"/>
      <c r="S60" s="6"/>
    </row>
    <row r="61">
      <c r="A61" s="6"/>
      <c r="B61" s="6"/>
      <c r="C61" s="6"/>
      <c r="D61" s="6"/>
      <c r="E61" s="6"/>
      <c r="F61" s="6"/>
      <c r="G61" s="91"/>
      <c r="H61" s="92"/>
      <c r="I61" s="92"/>
      <c r="J61" s="93"/>
      <c r="K61" s="92"/>
      <c r="L61" s="92"/>
      <c r="M61" s="93"/>
      <c r="N61" s="6"/>
      <c r="O61" s="6"/>
      <c r="P61" s="6"/>
      <c r="Q61" s="6"/>
      <c r="R61" s="6"/>
      <c r="S61" s="6"/>
    </row>
    <row r="62">
      <c r="A62" s="6"/>
      <c r="B62" s="6"/>
      <c r="C62" s="6"/>
      <c r="D62" s="6"/>
      <c r="E62" s="6"/>
      <c r="F62" s="6"/>
      <c r="G62" s="91">
        <v>45910.0</v>
      </c>
      <c r="H62" s="92">
        <v>12603.53</v>
      </c>
      <c r="I62" s="92">
        <v>12719.22</v>
      </c>
      <c r="J62" s="93">
        <v>-115.68999999999869</v>
      </c>
      <c r="K62" s="92">
        <v>16276.75</v>
      </c>
      <c r="L62" s="92">
        <v>11272.46</v>
      </c>
      <c r="M62" s="93">
        <v>5004.290000000001</v>
      </c>
      <c r="N62" s="6"/>
      <c r="O62" s="6"/>
      <c r="P62" s="6"/>
      <c r="Q62" s="6"/>
      <c r="R62" s="6"/>
      <c r="S62" s="6"/>
    </row>
    <row r="63">
      <c r="A63" s="6"/>
      <c r="B63" s="6"/>
      <c r="C63" s="6"/>
      <c r="D63" s="6"/>
      <c r="E63" s="6"/>
      <c r="F63" s="6"/>
      <c r="G63" s="91"/>
      <c r="H63" s="92"/>
      <c r="I63" s="92"/>
      <c r="J63" s="93"/>
      <c r="K63" s="92"/>
      <c r="L63" s="92"/>
      <c r="M63" s="93"/>
      <c r="N63" s="6"/>
      <c r="O63" s="6"/>
      <c r="P63" s="6"/>
      <c r="Q63" s="6"/>
      <c r="R63" s="6"/>
      <c r="S63" s="6"/>
    </row>
    <row r="64">
      <c r="A64" s="6"/>
      <c r="B64" s="6"/>
      <c r="C64" s="6"/>
      <c r="D64" s="6"/>
      <c r="E64" s="6"/>
      <c r="F64" s="6"/>
      <c r="G64" s="91">
        <v>45909.0</v>
      </c>
      <c r="H64" s="92">
        <v>11896.67</v>
      </c>
      <c r="I64" s="92">
        <v>9846.21</v>
      </c>
      <c r="J64" s="93">
        <v>2050.460000000001</v>
      </c>
      <c r="K64" s="92">
        <v>10422.84</v>
      </c>
      <c r="L64" s="92">
        <v>10339.76</v>
      </c>
      <c r="M64" s="93">
        <v>83.07999999999993</v>
      </c>
      <c r="N64" s="6"/>
      <c r="O64" s="6"/>
      <c r="P64" s="6"/>
      <c r="Q64" s="6"/>
      <c r="R64" s="6"/>
      <c r="S64" s="6"/>
    </row>
    <row r="65">
      <c r="A65" s="6"/>
      <c r="B65" s="6"/>
      <c r="C65" s="6"/>
      <c r="D65" s="6"/>
      <c r="E65" s="6"/>
      <c r="F65" s="6"/>
      <c r="G65" s="91"/>
      <c r="H65" s="92"/>
      <c r="I65" s="92"/>
      <c r="J65" s="93"/>
      <c r="K65" s="92"/>
      <c r="L65" s="92"/>
      <c r="M65" s="93"/>
      <c r="N65" s="6"/>
      <c r="O65" s="6"/>
      <c r="P65" s="6"/>
      <c r="Q65" s="6"/>
      <c r="R65" s="6"/>
      <c r="S65" s="6"/>
    </row>
    <row r="66">
      <c r="A66" s="6"/>
      <c r="B66" s="6"/>
      <c r="C66" s="6"/>
      <c r="D66" s="6"/>
      <c r="E66" s="6"/>
      <c r="F66" s="6"/>
      <c r="G66" s="91">
        <v>45908.0</v>
      </c>
      <c r="H66" s="92">
        <v>8228.52</v>
      </c>
      <c r="I66" s="92">
        <v>10398.87</v>
      </c>
      <c r="J66" s="93">
        <v>-2170.3500000000004</v>
      </c>
      <c r="K66" s="92">
        <v>11080.7</v>
      </c>
      <c r="L66" s="92">
        <v>8066.4</v>
      </c>
      <c r="M66" s="93">
        <v>3014.300000000001</v>
      </c>
      <c r="N66" s="6"/>
      <c r="O66" s="6"/>
      <c r="P66" s="6"/>
      <c r="Q66" s="6"/>
      <c r="R66" s="6"/>
      <c r="S66" s="6"/>
    </row>
    <row r="67">
      <c r="A67" s="6"/>
      <c r="B67" s="6"/>
      <c r="C67" s="6"/>
      <c r="D67" s="6"/>
      <c r="E67" s="6"/>
      <c r="F67" s="6"/>
      <c r="G67" s="91"/>
      <c r="H67" s="92"/>
      <c r="I67" s="92"/>
      <c r="J67" s="93"/>
      <c r="K67" s="92"/>
      <c r="L67" s="92"/>
      <c r="M67" s="93"/>
      <c r="N67" s="6"/>
      <c r="O67" s="6"/>
      <c r="P67" s="6"/>
      <c r="Q67" s="6"/>
      <c r="R67" s="6"/>
      <c r="S67" s="6"/>
    </row>
    <row r="68">
      <c r="A68" s="6"/>
      <c r="B68" s="6"/>
      <c r="C68" s="6"/>
      <c r="D68" s="6"/>
      <c r="E68" s="6"/>
      <c r="F68" s="6"/>
      <c r="G68" s="91">
        <v>45905.0</v>
      </c>
      <c r="H68" s="92">
        <v>8096.45</v>
      </c>
      <c r="I68" s="92">
        <v>9401.36</v>
      </c>
      <c r="J68" s="93">
        <v>-1304.9100000000008</v>
      </c>
      <c r="K68" s="92">
        <v>10633.48</v>
      </c>
      <c r="L68" s="92">
        <v>8812.25</v>
      </c>
      <c r="M68" s="93">
        <v>1821.2299999999996</v>
      </c>
      <c r="N68" s="6"/>
      <c r="O68" s="6"/>
      <c r="P68" s="6"/>
      <c r="Q68" s="6"/>
      <c r="R68" s="6"/>
      <c r="S68" s="6"/>
    </row>
    <row r="69">
      <c r="A69" s="6"/>
      <c r="B69" s="6"/>
      <c r="C69" s="6"/>
      <c r="D69" s="6"/>
      <c r="E69" s="6"/>
      <c r="F69" s="6"/>
      <c r="G69" s="91"/>
      <c r="H69" s="92"/>
      <c r="I69" s="92"/>
      <c r="J69" s="93"/>
      <c r="K69" s="92"/>
      <c r="L69" s="92"/>
      <c r="M69" s="93"/>
      <c r="N69" s="6"/>
      <c r="O69" s="6"/>
      <c r="P69" s="6"/>
      <c r="Q69" s="6"/>
      <c r="R69" s="6"/>
      <c r="S69" s="6"/>
    </row>
    <row r="70">
      <c r="A70" s="6"/>
      <c r="B70" s="6"/>
      <c r="C70" s="6"/>
      <c r="D70" s="6"/>
      <c r="E70" s="6"/>
      <c r="F70" s="6"/>
      <c r="G70" s="91">
        <v>45904.0</v>
      </c>
      <c r="H70" s="92">
        <v>12262.84</v>
      </c>
      <c r="I70" s="92">
        <v>12369.18</v>
      </c>
      <c r="J70" s="93">
        <v>-106.34000000000015</v>
      </c>
      <c r="K70" s="92">
        <v>16588.04</v>
      </c>
      <c r="L70" s="92">
        <v>14354.95</v>
      </c>
      <c r="M70" s="93">
        <v>2233.09</v>
      </c>
      <c r="N70" s="6"/>
      <c r="O70" s="6"/>
      <c r="P70" s="6"/>
      <c r="Q70" s="6"/>
      <c r="R70" s="6"/>
      <c r="S70" s="6"/>
    </row>
    <row r="71">
      <c r="A71" s="6"/>
      <c r="B71" s="6"/>
      <c r="C71" s="6"/>
      <c r="D71" s="6"/>
      <c r="E71" s="6"/>
      <c r="F71" s="6"/>
      <c r="G71" s="91"/>
      <c r="H71" s="92"/>
      <c r="I71" s="92"/>
      <c r="J71" s="93"/>
      <c r="K71" s="92"/>
      <c r="L71" s="92"/>
      <c r="M71" s="93"/>
      <c r="N71" s="6"/>
      <c r="O71" s="6"/>
      <c r="P71" s="6"/>
      <c r="Q71" s="6"/>
      <c r="R71" s="6"/>
      <c r="S71" s="6"/>
    </row>
    <row r="72">
      <c r="A72" s="6"/>
      <c r="B72" s="6"/>
      <c r="C72" s="6"/>
      <c r="D72" s="6"/>
      <c r="E72" s="6"/>
      <c r="F72" s="6"/>
      <c r="G72" s="91">
        <v>45903.0</v>
      </c>
      <c r="H72" s="92">
        <v>10784.27</v>
      </c>
      <c r="I72" s="92">
        <v>12450.73</v>
      </c>
      <c r="J72" s="93">
        <v>-1666.4599999999991</v>
      </c>
      <c r="K72" s="92">
        <v>14834.78</v>
      </c>
      <c r="L72" s="92">
        <v>12339.45</v>
      </c>
      <c r="M72" s="93">
        <v>2495.33</v>
      </c>
      <c r="N72" s="6"/>
      <c r="O72" s="6"/>
      <c r="P72" s="6"/>
      <c r="Q72" s="6"/>
      <c r="R72" s="6"/>
      <c r="S72" s="6"/>
    </row>
    <row r="73">
      <c r="A73" s="6"/>
      <c r="B73" s="6"/>
      <c r="C73" s="6"/>
      <c r="D73" s="6"/>
      <c r="E73" s="6"/>
      <c r="F73" s="6"/>
      <c r="G73" s="91"/>
      <c r="H73" s="92"/>
      <c r="I73" s="92"/>
      <c r="J73" s="93"/>
      <c r="K73" s="92"/>
      <c r="L73" s="92"/>
      <c r="M73" s="93"/>
      <c r="N73" s="6"/>
      <c r="O73" s="6"/>
      <c r="P73" s="6"/>
      <c r="Q73" s="6"/>
      <c r="R73" s="6"/>
      <c r="S73" s="6"/>
    </row>
    <row r="74">
      <c r="A74" s="6"/>
      <c r="B74" s="6"/>
      <c r="C74" s="6"/>
      <c r="D74" s="6"/>
      <c r="E74" s="6"/>
      <c r="F74" s="6"/>
      <c r="G74" s="91">
        <v>45902.0</v>
      </c>
      <c r="H74" s="92">
        <v>8939.36</v>
      </c>
      <c r="I74" s="92">
        <v>10098.84</v>
      </c>
      <c r="J74" s="93">
        <v>-1159.4799999999996</v>
      </c>
      <c r="K74" s="92">
        <v>12904.06</v>
      </c>
      <c r="L74" s="92">
        <v>10354.55</v>
      </c>
      <c r="M74" s="93">
        <v>2549.51</v>
      </c>
      <c r="N74" s="6"/>
      <c r="O74" s="6"/>
      <c r="P74" s="6"/>
      <c r="Q74" s="6"/>
      <c r="R74" s="6"/>
      <c r="S74" s="6"/>
    </row>
    <row r="75">
      <c r="A75" s="6"/>
      <c r="B75" s="6"/>
      <c r="C75" s="6"/>
      <c r="D75" s="6"/>
      <c r="E75" s="6"/>
      <c r="F75" s="6"/>
      <c r="G75" s="91"/>
      <c r="H75" s="92"/>
      <c r="I75" s="92"/>
      <c r="J75" s="93"/>
      <c r="K75" s="92"/>
      <c r="L75" s="92"/>
      <c r="M75" s="93"/>
      <c r="N75" s="6"/>
      <c r="O75" s="6"/>
      <c r="P75" s="6"/>
      <c r="Q75" s="6"/>
      <c r="R75" s="6"/>
      <c r="S75" s="6"/>
    </row>
    <row r="76">
      <c r="A76" s="6"/>
      <c r="B76" s="6"/>
      <c r="C76" s="6"/>
      <c r="D76" s="6"/>
      <c r="E76" s="6"/>
      <c r="F76" s="6"/>
      <c r="G76" s="91">
        <v>45898.0</v>
      </c>
      <c r="H76" s="92">
        <v>9679.99</v>
      </c>
      <c r="I76" s="92">
        <v>17992.65</v>
      </c>
      <c r="J76" s="93">
        <v>-8312.660000000002</v>
      </c>
      <c r="K76" s="92">
        <v>20676.78</v>
      </c>
      <c r="L76" s="92">
        <v>9189.14</v>
      </c>
      <c r="M76" s="93">
        <v>11487.64</v>
      </c>
      <c r="N76" s="6"/>
      <c r="O76" s="6"/>
      <c r="P76" s="6"/>
      <c r="Q76" s="6"/>
      <c r="R76" s="6"/>
      <c r="S76" s="6"/>
    </row>
    <row r="77">
      <c r="A77" s="6"/>
      <c r="B77" s="6"/>
      <c r="C77" s="6"/>
      <c r="D77" s="6"/>
      <c r="E77" s="6"/>
      <c r="F77" s="6"/>
      <c r="G77" s="91"/>
      <c r="H77" s="92"/>
      <c r="I77" s="92"/>
      <c r="J77" s="93"/>
      <c r="K77" s="92"/>
      <c r="L77" s="92"/>
      <c r="M77" s="93"/>
      <c r="N77" s="6"/>
      <c r="O77" s="6"/>
      <c r="P77" s="6"/>
      <c r="Q77" s="6"/>
      <c r="R77" s="6"/>
      <c r="S77" s="6"/>
    </row>
    <row r="78">
      <c r="A78" s="6"/>
      <c r="B78" s="6"/>
      <c r="C78" s="6"/>
      <c r="D78" s="6"/>
      <c r="E78" s="6"/>
      <c r="F78" s="6"/>
      <c r="G78" s="91">
        <v>45895.0</v>
      </c>
      <c r="H78" s="92">
        <v>44146.8</v>
      </c>
      <c r="I78" s="92">
        <v>50663.29</v>
      </c>
      <c r="J78" s="93">
        <v>-6516.489999999998</v>
      </c>
      <c r="K78" s="92">
        <v>22000.77</v>
      </c>
      <c r="L78" s="92">
        <v>14940.4</v>
      </c>
      <c r="M78" s="93">
        <v>7060.370000000001</v>
      </c>
      <c r="N78" s="6"/>
      <c r="O78" s="6"/>
      <c r="P78" s="6"/>
      <c r="Q78" s="6"/>
      <c r="R78" s="6"/>
      <c r="S78" s="6"/>
    </row>
    <row r="79">
      <c r="A79" s="6"/>
      <c r="B79" s="6"/>
      <c r="C79" s="6"/>
      <c r="D79" s="6"/>
      <c r="E79" s="6"/>
      <c r="F79" s="6"/>
      <c r="G79" s="91"/>
      <c r="H79" s="92"/>
      <c r="I79" s="92"/>
      <c r="J79" s="93"/>
      <c r="K79" s="92"/>
      <c r="L79" s="92"/>
      <c r="M79" s="93"/>
      <c r="N79" s="6"/>
      <c r="O79" s="6"/>
      <c r="P79" s="6"/>
      <c r="Q79" s="6"/>
      <c r="R79" s="6"/>
      <c r="S79" s="6"/>
    </row>
    <row r="80">
      <c r="A80" s="6"/>
      <c r="B80" s="6"/>
      <c r="C80" s="6"/>
      <c r="D80" s="6"/>
      <c r="E80" s="6"/>
      <c r="F80" s="6"/>
      <c r="G80" s="91">
        <v>45894.0</v>
      </c>
      <c r="H80" s="92">
        <v>9951.36</v>
      </c>
      <c r="I80" s="92">
        <v>12417.6</v>
      </c>
      <c r="J80" s="93">
        <v>-2466.24</v>
      </c>
      <c r="K80" s="92">
        <v>13371.09</v>
      </c>
      <c r="L80" s="92">
        <v>10194.4</v>
      </c>
      <c r="M80" s="93">
        <v>3176.6900000000005</v>
      </c>
      <c r="N80" s="6"/>
      <c r="O80" s="6"/>
      <c r="P80" s="6"/>
      <c r="Q80" s="6"/>
      <c r="R80" s="6"/>
      <c r="S80" s="6"/>
    </row>
    <row r="81">
      <c r="A81" s="6"/>
      <c r="B81" s="6"/>
      <c r="C81" s="6"/>
      <c r="D81" s="6"/>
      <c r="E81" s="6"/>
      <c r="F81" s="6"/>
      <c r="G81" s="91"/>
      <c r="H81" s="92"/>
      <c r="I81" s="92"/>
      <c r="J81" s="93"/>
      <c r="K81" s="92"/>
      <c r="L81" s="92"/>
      <c r="M81" s="93"/>
      <c r="N81" s="6"/>
      <c r="O81" s="6"/>
      <c r="P81" s="6"/>
      <c r="Q81" s="6"/>
      <c r="R81" s="6"/>
      <c r="S81" s="6"/>
    </row>
    <row r="82">
      <c r="A82" s="6"/>
      <c r="B82" s="6"/>
      <c r="C82" s="6"/>
      <c r="D82" s="6"/>
      <c r="E82" s="6"/>
      <c r="F82" s="6"/>
      <c r="G82" s="91">
        <v>45891.0</v>
      </c>
      <c r="H82" s="92">
        <v>10179.18</v>
      </c>
      <c r="I82" s="92">
        <v>11801.7</v>
      </c>
      <c r="J82" s="93">
        <v>-1622.5200000000004</v>
      </c>
      <c r="K82" s="92">
        <v>10106.92</v>
      </c>
      <c r="L82" s="92">
        <v>10436.17</v>
      </c>
      <c r="M82" s="93">
        <v>-329.25</v>
      </c>
      <c r="N82" s="6"/>
      <c r="O82" s="6"/>
      <c r="P82" s="6"/>
      <c r="Q82" s="6"/>
      <c r="R82" s="6"/>
      <c r="S82" s="6"/>
    </row>
    <row r="83">
      <c r="A83" s="6"/>
      <c r="B83" s="6"/>
      <c r="C83" s="6"/>
      <c r="D83" s="6"/>
      <c r="E83" s="6"/>
      <c r="F83" s="6"/>
      <c r="G83" s="91"/>
      <c r="H83" s="92"/>
      <c r="I83" s="92"/>
      <c r="J83" s="93"/>
      <c r="K83" s="92"/>
      <c r="L83" s="92"/>
      <c r="M83" s="93"/>
      <c r="N83" s="6"/>
      <c r="O83" s="6"/>
      <c r="P83" s="6"/>
      <c r="Q83" s="6"/>
      <c r="R83" s="6"/>
      <c r="S83" s="6"/>
    </row>
    <row r="84">
      <c r="A84" s="6"/>
      <c r="B84" s="6"/>
      <c r="C84" s="6"/>
      <c r="D84" s="6"/>
      <c r="E84" s="6"/>
      <c r="F84" s="6"/>
      <c r="G84" s="91">
        <v>45889.0</v>
      </c>
      <c r="H84" s="92">
        <v>11599.55</v>
      </c>
      <c r="I84" s="92">
        <v>12699.64</v>
      </c>
      <c r="J84" s="93">
        <v>-1100.0900000000001</v>
      </c>
      <c r="K84" s="92">
        <v>14464.24</v>
      </c>
      <c r="L84" s="92">
        <v>12657.9</v>
      </c>
      <c r="M84" s="93">
        <v>1806.3400000000001</v>
      </c>
      <c r="N84" s="6"/>
      <c r="O84" s="6"/>
      <c r="P84" s="6"/>
      <c r="Q84" s="6"/>
      <c r="R84" s="6"/>
      <c r="S84" s="6"/>
    </row>
    <row r="85">
      <c r="A85" s="6"/>
      <c r="B85" s="6"/>
      <c r="C85" s="6"/>
      <c r="D85" s="6"/>
      <c r="E85" s="6"/>
      <c r="F85" s="6"/>
      <c r="G85" s="91"/>
      <c r="H85" s="92"/>
      <c r="I85" s="92"/>
      <c r="J85" s="93"/>
      <c r="K85" s="92"/>
      <c r="L85" s="92"/>
      <c r="M85" s="93"/>
      <c r="N85" s="6"/>
      <c r="O85" s="6"/>
      <c r="P85" s="6"/>
      <c r="Q85" s="6"/>
      <c r="R85" s="6"/>
      <c r="S85" s="6"/>
    </row>
    <row r="86">
      <c r="A86" s="6"/>
      <c r="B86" s="6"/>
      <c r="C86" s="6"/>
      <c r="D86" s="6"/>
      <c r="E86" s="6"/>
      <c r="F86" s="6"/>
      <c r="G86" s="91">
        <v>45887.0</v>
      </c>
      <c r="H86" s="92">
        <v>20070.25</v>
      </c>
      <c r="I86" s="92">
        <v>19519.4</v>
      </c>
      <c r="J86" s="93">
        <v>550.8499999999985</v>
      </c>
      <c r="K86" s="92">
        <v>18649.74</v>
      </c>
      <c r="L86" s="92">
        <v>14545.93</v>
      </c>
      <c r="M86" s="93">
        <v>4103.810000000001</v>
      </c>
      <c r="N86" s="6"/>
      <c r="O86" s="6"/>
      <c r="P86" s="6"/>
      <c r="Q86" s="6"/>
      <c r="R86" s="6"/>
      <c r="S86" s="6"/>
    </row>
    <row r="87">
      <c r="A87" s="6"/>
      <c r="B87" s="6"/>
      <c r="C87" s="6"/>
      <c r="D87" s="6"/>
      <c r="E87" s="6"/>
      <c r="F87" s="6"/>
      <c r="G87" s="91"/>
      <c r="H87" s="92"/>
      <c r="I87" s="92"/>
      <c r="J87" s="93"/>
      <c r="K87" s="92"/>
      <c r="L87" s="92"/>
      <c r="M87" s="93"/>
      <c r="N87" s="6"/>
      <c r="O87" s="6"/>
      <c r="P87" s="6"/>
      <c r="Q87" s="6"/>
      <c r="R87" s="6"/>
      <c r="S87" s="6"/>
    </row>
    <row r="88">
      <c r="A88" s="6"/>
      <c r="B88" s="6"/>
      <c r="C88" s="6"/>
      <c r="D88" s="6"/>
      <c r="E88" s="6"/>
      <c r="F88" s="6"/>
      <c r="G88" s="91">
        <v>45883.0</v>
      </c>
      <c r="H88" s="92">
        <v>13646.01</v>
      </c>
      <c r="I88" s="92">
        <v>15572.77</v>
      </c>
      <c r="J88" s="93">
        <v>-1926.7600000000002</v>
      </c>
      <c r="K88" s="92">
        <v>13144.45</v>
      </c>
      <c r="L88" s="92">
        <v>9248.77</v>
      </c>
      <c r="M88" s="93">
        <v>3895.6800000000003</v>
      </c>
      <c r="N88" s="6"/>
      <c r="O88" s="6"/>
      <c r="P88" s="6"/>
      <c r="Q88" s="6"/>
      <c r="R88" s="6"/>
      <c r="S88" s="6"/>
    </row>
    <row r="89">
      <c r="A89" s="6"/>
      <c r="B89" s="6"/>
      <c r="C89" s="6"/>
      <c r="D89" s="6"/>
      <c r="E89" s="6"/>
      <c r="F89" s="6"/>
      <c r="G89" s="91"/>
      <c r="H89" s="92"/>
      <c r="I89" s="92"/>
      <c r="J89" s="93"/>
      <c r="K89" s="92"/>
      <c r="L89" s="92"/>
      <c r="M89" s="93"/>
      <c r="N89" s="6"/>
      <c r="O89" s="6"/>
      <c r="P89" s="6"/>
      <c r="Q89" s="6"/>
      <c r="R89" s="6"/>
      <c r="S89" s="6"/>
    </row>
    <row r="90">
      <c r="A90" s="6"/>
      <c r="B90" s="6"/>
      <c r="C90" s="6"/>
      <c r="D90" s="6"/>
      <c r="E90" s="6"/>
      <c r="F90" s="6"/>
      <c r="G90" s="91">
        <v>45882.0</v>
      </c>
      <c r="H90" s="92">
        <v>11350.06</v>
      </c>
      <c r="I90" s="92">
        <v>14994.49</v>
      </c>
      <c r="J90" s="93">
        <v>-3644.4300000000003</v>
      </c>
      <c r="K90" s="92">
        <v>13982.46</v>
      </c>
      <c r="L90" s="92">
        <v>8358.67</v>
      </c>
      <c r="M90" s="93">
        <v>5623.789999999999</v>
      </c>
      <c r="N90" s="6"/>
      <c r="O90" s="6"/>
      <c r="P90" s="6"/>
      <c r="Q90" s="6"/>
      <c r="R90" s="6"/>
      <c r="S90" s="6"/>
    </row>
    <row r="91">
      <c r="A91" s="6"/>
      <c r="B91" s="6"/>
      <c r="C91" s="6"/>
      <c r="D91" s="6"/>
      <c r="E91" s="6"/>
      <c r="F91" s="6"/>
      <c r="G91" s="91"/>
      <c r="H91" s="92"/>
      <c r="I91" s="92"/>
      <c r="J91" s="93"/>
      <c r="K91" s="92"/>
      <c r="L91" s="92"/>
      <c r="M91" s="93"/>
      <c r="N91" s="6"/>
      <c r="O91" s="6"/>
      <c r="P91" s="6"/>
      <c r="Q91" s="6"/>
      <c r="R91" s="6"/>
      <c r="S91" s="6"/>
    </row>
    <row r="92">
      <c r="A92" s="6"/>
      <c r="B92" s="6"/>
      <c r="C92" s="6"/>
      <c r="D92" s="6"/>
      <c r="E92" s="6"/>
      <c r="F92" s="6"/>
      <c r="G92" s="91">
        <v>45881.0</v>
      </c>
      <c r="H92" s="92">
        <v>9532.22</v>
      </c>
      <c r="I92" s="92">
        <v>12931.02</v>
      </c>
      <c r="J92" s="93">
        <v>-3398.800000000001</v>
      </c>
      <c r="K92" s="92">
        <v>11888.48</v>
      </c>
      <c r="L92" s="92">
        <v>8380.55</v>
      </c>
      <c r="M92" s="93">
        <v>3507.9300000000003</v>
      </c>
      <c r="N92" s="6"/>
      <c r="O92" s="6"/>
      <c r="P92" s="6"/>
      <c r="Q92" s="6"/>
      <c r="R92" s="6"/>
      <c r="S92" s="6"/>
    </row>
    <row r="93">
      <c r="A93" s="6"/>
      <c r="B93" s="6"/>
      <c r="C93" s="6"/>
      <c r="D93" s="6"/>
      <c r="E93" s="6"/>
      <c r="F93" s="6"/>
      <c r="G93" s="91"/>
      <c r="H93" s="92"/>
      <c r="I93" s="92"/>
      <c r="J93" s="93"/>
      <c r="K93" s="92"/>
      <c r="L93" s="92"/>
      <c r="M93" s="93"/>
      <c r="N93" s="6"/>
      <c r="O93" s="6"/>
      <c r="P93" s="6"/>
      <c r="Q93" s="6"/>
      <c r="R93" s="6"/>
      <c r="S93" s="6"/>
    </row>
    <row r="94">
      <c r="A94" s="6"/>
      <c r="B94" s="6"/>
      <c r="C94" s="6"/>
      <c r="D94" s="6"/>
      <c r="E94" s="6"/>
      <c r="F94" s="6"/>
      <c r="G94" s="91">
        <v>45880.0</v>
      </c>
      <c r="H94" s="92">
        <v>9477.3</v>
      </c>
      <c r="I94" s="92">
        <v>10679.95</v>
      </c>
      <c r="J94" s="93">
        <v>-1202.6500000000015</v>
      </c>
      <c r="K94" s="92">
        <v>15109.07</v>
      </c>
      <c r="L94" s="92">
        <v>9136.71</v>
      </c>
      <c r="M94" s="93">
        <v>5972.360000000001</v>
      </c>
      <c r="N94" s="6"/>
      <c r="O94" s="6"/>
      <c r="P94" s="6"/>
      <c r="Q94" s="6"/>
      <c r="R94" s="6"/>
      <c r="S94" s="6"/>
    </row>
    <row r="95">
      <c r="A95" s="6"/>
      <c r="B95" s="6"/>
      <c r="C95" s="6"/>
      <c r="D95" s="6"/>
      <c r="E95" s="6"/>
      <c r="F95" s="6"/>
      <c r="G95" s="91"/>
      <c r="H95" s="92"/>
      <c r="I95" s="92"/>
      <c r="J95" s="93"/>
      <c r="K95" s="92"/>
      <c r="L95" s="92"/>
      <c r="M95" s="93"/>
      <c r="N95" s="6"/>
      <c r="O95" s="6"/>
      <c r="P95" s="6"/>
      <c r="Q95" s="6"/>
      <c r="R95" s="6"/>
      <c r="S95" s="6"/>
    </row>
    <row r="96">
      <c r="A96" s="6"/>
      <c r="B96" s="6"/>
      <c r="C96" s="6"/>
      <c r="D96" s="6"/>
      <c r="E96" s="6"/>
      <c r="F96" s="6"/>
      <c r="G96" s="91">
        <v>45877.0</v>
      </c>
      <c r="H96" s="92">
        <v>17682.11</v>
      </c>
      <c r="I96" s="92">
        <v>15749.3</v>
      </c>
      <c r="J96" s="93">
        <v>1932.8100000000013</v>
      </c>
      <c r="K96" s="92">
        <v>16682.09</v>
      </c>
      <c r="L96" s="92">
        <v>8958.43</v>
      </c>
      <c r="M96" s="93">
        <v>7723.66</v>
      </c>
      <c r="N96" s="6"/>
      <c r="O96" s="6"/>
      <c r="P96" s="6"/>
      <c r="Q96" s="6"/>
      <c r="R96" s="6"/>
      <c r="S96" s="6"/>
    </row>
    <row r="97">
      <c r="A97" s="6"/>
      <c r="B97" s="6"/>
      <c r="C97" s="6"/>
      <c r="D97" s="6"/>
      <c r="E97" s="6"/>
      <c r="F97" s="6"/>
      <c r="G97" s="91"/>
      <c r="H97" s="92"/>
      <c r="I97" s="92"/>
      <c r="J97" s="93"/>
      <c r="K97" s="92"/>
      <c r="L97" s="92"/>
      <c r="M97" s="93"/>
      <c r="N97" s="6"/>
      <c r="O97" s="6"/>
      <c r="P97" s="6"/>
      <c r="Q97" s="6"/>
      <c r="R97" s="6"/>
      <c r="S97" s="6"/>
    </row>
    <row r="98">
      <c r="A98" s="6"/>
      <c r="B98" s="6"/>
      <c r="C98" s="6"/>
      <c r="D98" s="6"/>
      <c r="E98" s="6"/>
      <c r="F98" s="6"/>
      <c r="G98" s="91">
        <v>45876.0</v>
      </c>
      <c r="H98" s="92">
        <v>10567.78</v>
      </c>
      <c r="I98" s="92">
        <v>15564.97</v>
      </c>
      <c r="J98" s="93">
        <v>-4997.189999999999</v>
      </c>
      <c r="K98" s="92">
        <v>19629.64</v>
      </c>
      <c r="L98" s="92">
        <v>8765.6</v>
      </c>
      <c r="M98" s="93">
        <v>10864.039999999999</v>
      </c>
      <c r="N98" s="6"/>
      <c r="O98" s="6"/>
      <c r="P98" s="6"/>
      <c r="Q98" s="6"/>
      <c r="R98" s="6"/>
      <c r="S98" s="6"/>
    </row>
    <row r="99">
      <c r="A99" s="6"/>
      <c r="B99" s="6"/>
      <c r="C99" s="6"/>
      <c r="D99" s="6"/>
      <c r="E99" s="6"/>
      <c r="F99" s="6"/>
      <c r="G99" s="91"/>
      <c r="H99" s="92"/>
      <c r="I99" s="92"/>
      <c r="J99" s="93"/>
      <c r="K99" s="92"/>
      <c r="L99" s="92"/>
      <c r="M99" s="93"/>
      <c r="N99" s="6"/>
      <c r="O99" s="6"/>
      <c r="P99" s="6"/>
      <c r="Q99" s="6"/>
      <c r="R99" s="6"/>
      <c r="S99" s="6"/>
    </row>
    <row r="100">
      <c r="A100" s="6"/>
      <c r="B100" s="6"/>
      <c r="C100" s="6"/>
      <c r="D100" s="6"/>
      <c r="E100" s="6"/>
      <c r="F100" s="6"/>
      <c r="G100" s="91">
        <v>45874.0</v>
      </c>
      <c r="H100" s="92">
        <v>15251.29</v>
      </c>
      <c r="I100" s="92">
        <v>15273.77</v>
      </c>
      <c r="J100" s="93">
        <v>-22.479999999999563</v>
      </c>
      <c r="K100" s="92">
        <v>14250.99</v>
      </c>
      <c r="L100" s="92">
        <v>10410.6</v>
      </c>
      <c r="M100" s="93">
        <v>3840.3899999999994</v>
      </c>
      <c r="N100" s="6"/>
      <c r="O100" s="6"/>
      <c r="P100" s="6"/>
      <c r="Q100" s="6"/>
      <c r="R100" s="6"/>
      <c r="S100" s="6"/>
    </row>
    <row r="101">
      <c r="A101" s="6"/>
      <c r="B101" s="6"/>
      <c r="C101" s="6"/>
      <c r="D101" s="6"/>
      <c r="E101" s="6"/>
      <c r="F101" s="6"/>
      <c r="G101" s="91"/>
      <c r="H101" s="92"/>
      <c r="I101" s="92"/>
      <c r="J101" s="93"/>
      <c r="K101" s="92"/>
      <c r="L101" s="92"/>
      <c r="M101" s="93"/>
      <c r="N101" s="6"/>
      <c r="O101" s="6"/>
      <c r="P101" s="6"/>
      <c r="Q101" s="6"/>
      <c r="R101" s="6"/>
      <c r="S101" s="6"/>
    </row>
    <row r="102">
      <c r="A102" s="6"/>
      <c r="B102" s="6"/>
      <c r="C102" s="6"/>
      <c r="D102" s="6"/>
      <c r="E102" s="6"/>
      <c r="F102" s="6"/>
      <c r="G102" s="91">
        <v>45873.0</v>
      </c>
      <c r="H102" s="92">
        <v>9014.97</v>
      </c>
      <c r="I102" s="92">
        <v>11581.48</v>
      </c>
      <c r="J102" s="93">
        <v>-2566.51</v>
      </c>
      <c r="K102" s="92">
        <v>14068.4</v>
      </c>
      <c r="L102" s="92">
        <v>9682.11</v>
      </c>
      <c r="M102" s="93">
        <v>4386.289999999999</v>
      </c>
      <c r="N102" s="6"/>
      <c r="O102" s="6"/>
      <c r="P102" s="6"/>
      <c r="Q102" s="6"/>
      <c r="R102" s="6"/>
      <c r="S102" s="6"/>
    </row>
    <row r="103">
      <c r="A103" s="6"/>
      <c r="B103" s="6"/>
      <c r="C103" s="6"/>
      <c r="D103" s="6"/>
      <c r="E103" s="6"/>
      <c r="F103" s="6"/>
      <c r="G103" s="91"/>
      <c r="H103" s="92"/>
      <c r="I103" s="92"/>
      <c r="J103" s="93"/>
      <c r="K103" s="92"/>
      <c r="L103" s="92"/>
      <c r="M103" s="93"/>
      <c r="N103" s="6"/>
      <c r="O103" s="6"/>
      <c r="P103" s="6"/>
      <c r="Q103" s="6"/>
      <c r="R103" s="6"/>
      <c r="S103" s="6"/>
    </row>
    <row r="104">
      <c r="A104" s="6"/>
      <c r="B104" s="6"/>
      <c r="C104" s="6"/>
      <c r="D104" s="6"/>
      <c r="E104" s="6"/>
      <c r="F104" s="6"/>
      <c r="G104" s="91">
        <v>45870.0</v>
      </c>
      <c r="H104" s="92">
        <v>9379.46</v>
      </c>
      <c r="I104" s="92">
        <v>12745.86</v>
      </c>
      <c r="J104" s="93">
        <v>-3366.4000000000015</v>
      </c>
      <c r="K104" s="92">
        <v>14990.14</v>
      </c>
      <c r="L104" s="92">
        <v>11803.28</v>
      </c>
      <c r="M104" s="93">
        <v>3186.8599999999988</v>
      </c>
      <c r="N104" s="6"/>
      <c r="O104" s="6"/>
      <c r="P104" s="6"/>
      <c r="Q104" s="6"/>
      <c r="R104" s="6"/>
      <c r="S104" s="6"/>
    </row>
    <row r="105">
      <c r="A105" s="6"/>
      <c r="B105" s="6"/>
      <c r="C105" s="6"/>
      <c r="D105" s="6"/>
      <c r="E105" s="6"/>
      <c r="F105" s="6"/>
      <c r="G105" s="91"/>
      <c r="H105" s="92"/>
      <c r="I105" s="92"/>
      <c r="J105" s="93"/>
      <c r="K105" s="92"/>
      <c r="L105" s="92"/>
      <c r="M105" s="93"/>
      <c r="N105" s="6"/>
      <c r="O105" s="6"/>
      <c r="P105" s="6"/>
      <c r="Q105" s="6"/>
      <c r="R105" s="6"/>
      <c r="S105" s="6"/>
    </row>
    <row r="106">
      <c r="A106" s="6"/>
      <c r="B106" s="6"/>
      <c r="C106" s="6"/>
      <c r="D106" s="6"/>
      <c r="E106" s="6"/>
      <c r="F106" s="6"/>
      <c r="G106" s="91">
        <v>45868.0</v>
      </c>
      <c r="H106" s="92">
        <v>11888.17</v>
      </c>
      <c r="I106" s="92">
        <v>12738.21</v>
      </c>
      <c r="J106" s="93">
        <v>-850.039999999999</v>
      </c>
      <c r="K106" s="92">
        <v>12890.19</v>
      </c>
      <c r="L106" s="92">
        <v>11061.08</v>
      </c>
      <c r="M106" s="93">
        <v>1829.1100000000006</v>
      </c>
      <c r="N106" s="6"/>
      <c r="O106" s="6"/>
      <c r="P106" s="6"/>
      <c r="Q106" s="6"/>
      <c r="R106" s="6"/>
      <c r="S106" s="6"/>
    </row>
    <row r="107">
      <c r="A107" s="6"/>
      <c r="B107" s="6"/>
      <c r="C107" s="6"/>
      <c r="D107" s="6"/>
      <c r="E107" s="6"/>
      <c r="F107" s="6"/>
      <c r="G107" s="91"/>
      <c r="H107" s="92"/>
      <c r="I107" s="92"/>
      <c r="J107" s="93"/>
      <c r="K107" s="92"/>
      <c r="L107" s="92"/>
      <c r="M107" s="93"/>
      <c r="N107" s="6"/>
      <c r="O107" s="6"/>
      <c r="P107" s="6"/>
      <c r="Q107" s="6"/>
      <c r="R107" s="6"/>
      <c r="S107" s="6"/>
    </row>
    <row r="108">
      <c r="A108" s="6"/>
      <c r="B108" s="6"/>
      <c r="C108" s="6"/>
      <c r="D108" s="6"/>
      <c r="E108" s="6"/>
      <c r="F108" s="6"/>
      <c r="G108" s="91">
        <v>45866.0</v>
      </c>
      <c r="H108" s="92">
        <v>9993.78</v>
      </c>
      <c r="I108" s="92">
        <v>16076.25</v>
      </c>
      <c r="J108" s="93">
        <v>-6082.469999999999</v>
      </c>
      <c r="K108" s="92">
        <v>15799.53</v>
      </c>
      <c r="L108" s="92">
        <v>9034.98</v>
      </c>
      <c r="M108" s="93">
        <v>6764.550000000001</v>
      </c>
      <c r="N108" s="6"/>
      <c r="O108" s="6"/>
      <c r="P108" s="6"/>
      <c r="Q108" s="6"/>
      <c r="R108" s="6"/>
      <c r="S108" s="6"/>
    </row>
    <row r="109">
      <c r="A109" s="6"/>
      <c r="B109" s="6"/>
      <c r="C109" s="6"/>
      <c r="D109" s="6"/>
      <c r="E109" s="6"/>
      <c r="F109" s="6"/>
      <c r="G109" s="91"/>
      <c r="H109" s="92"/>
      <c r="I109" s="92"/>
      <c r="J109" s="93"/>
      <c r="K109" s="92"/>
      <c r="L109" s="92"/>
      <c r="M109" s="93"/>
      <c r="N109" s="6"/>
      <c r="O109" s="6"/>
      <c r="P109" s="6"/>
      <c r="Q109" s="6"/>
      <c r="R109" s="6"/>
      <c r="S109" s="6"/>
    </row>
    <row r="110">
      <c r="A110" s="6"/>
      <c r="B110" s="6"/>
      <c r="C110" s="6"/>
      <c r="D110" s="6"/>
      <c r="E110" s="6"/>
      <c r="F110" s="6"/>
      <c r="G110" s="91">
        <v>45863.0</v>
      </c>
      <c r="H110" s="92">
        <v>12831.79</v>
      </c>
      <c r="I110" s="92">
        <v>14811.75</v>
      </c>
      <c r="J110" s="93">
        <v>-1979.9599999999991</v>
      </c>
      <c r="K110" s="92">
        <v>12786.65</v>
      </c>
      <c r="L110" s="92">
        <v>10648.06</v>
      </c>
      <c r="M110" s="93">
        <v>2138.59</v>
      </c>
      <c r="N110" s="6"/>
      <c r="O110" s="6"/>
      <c r="P110" s="6"/>
      <c r="Q110" s="6"/>
      <c r="R110" s="6"/>
      <c r="S110" s="6"/>
    </row>
    <row r="111">
      <c r="A111" s="6"/>
      <c r="B111" s="6"/>
      <c r="C111" s="6"/>
      <c r="D111" s="6"/>
      <c r="E111" s="6"/>
      <c r="F111" s="6"/>
      <c r="G111" s="91"/>
      <c r="H111" s="92"/>
      <c r="I111" s="92"/>
      <c r="J111" s="93"/>
      <c r="K111" s="92"/>
      <c r="L111" s="92"/>
      <c r="M111" s="93"/>
      <c r="N111" s="6"/>
      <c r="O111" s="6"/>
      <c r="P111" s="6"/>
      <c r="Q111" s="6"/>
      <c r="R111" s="6"/>
      <c r="S111" s="6"/>
    </row>
    <row r="112">
      <c r="A112" s="6"/>
      <c r="B112" s="6"/>
      <c r="C112" s="6"/>
      <c r="D112" s="6"/>
      <c r="E112" s="6"/>
      <c r="F112" s="6"/>
      <c r="G112" s="91">
        <v>45862.0</v>
      </c>
      <c r="H112" s="92">
        <v>13725.46</v>
      </c>
      <c r="I112" s="92">
        <v>15859.15</v>
      </c>
      <c r="J112" s="93">
        <v>-2133.6900000000005</v>
      </c>
      <c r="K112" s="92">
        <v>13507.17</v>
      </c>
      <c r="L112" s="92">
        <v>10890.03</v>
      </c>
      <c r="M112" s="93">
        <v>2617.1399999999994</v>
      </c>
      <c r="N112" s="6"/>
      <c r="O112" s="6"/>
      <c r="P112" s="6"/>
      <c r="Q112" s="6"/>
      <c r="R112" s="6"/>
      <c r="S112" s="6"/>
    </row>
    <row r="113">
      <c r="A113" s="6"/>
      <c r="B113" s="6"/>
      <c r="C113" s="6"/>
      <c r="D113" s="6"/>
      <c r="E113" s="6"/>
      <c r="F113" s="6"/>
      <c r="G113" s="91"/>
      <c r="H113" s="92"/>
      <c r="I113" s="92"/>
      <c r="J113" s="93"/>
      <c r="K113" s="92"/>
      <c r="L113" s="92"/>
      <c r="M113" s="93"/>
      <c r="N113" s="6"/>
      <c r="O113" s="6"/>
      <c r="P113" s="6"/>
      <c r="Q113" s="6"/>
      <c r="R113" s="6"/>
      <c r="S113" s="6"/>
    </row>
    <row r="114">
      <c r="A114" s="6"/>
      <c r="B114" s="6"/>
      <c r="C114" s="6"/>
      <c r="D114" s="6"/>
      <c r="E114" s="6"/>
      <c r="F114" s="6"/>
      <c r="G114" s="91">
        <v>45861.0</v>
      </c>
      <c r="H114" s="92">
        <v>14475.5</v>
      </c>
      <c r="I114" s="92">
        <v>18684.61</v>
      </c>
      <c r="J114" s="93">
        <v>-4209.110000000001</v>
      </c>
      <c r="K114" s="92">
        <v>15146.43</v>
      </c>
      <c r="L114" s="92">
        <v>10787.91</v>
      </c>
      <c r="M114" s="93">
        <v>4358.52</v>
      </c>
      <c r="N114" s="6"/>
      <c r="O114" s="6"/>
      <c r="P114" s="6"/>
      <c r="Q114" s="6"/>
      <c r="R114" s="6"/>
      <c r="S114" s="6"/>
    </row>
    <row r="115">
      <c r="A115" s="6"/>
      <c r="B115" s="6"/>
      <c r="C115" s="6"/>
      <c r="D115" s="6"/>
      <c r="E115" s="6"/>
      <c r="F115" s="6"/>
      <c r="G115" s="91"/>
      <c r="H115" s="92"/>
      <c r="I115" s="92"/>
      <c r="J115" s="93"/>
      <c r="K115" s="92"/>
      <c r="L115" s="92"/>
      <c r="M115" s="93"/>
      <c r="N115" s="6"/>
      <c r="O115" s="6"/>
      <c r="P115" s="6"/>
      <c r="Q115" s="6"/>
      <c r="R115" s="6"/>
      <c r="S115" s="6"/>
    </row>
    <row r="116">
      <c r="A116" s="6"/>
      <c r="B116" s="6"/>
      <c r="C116" s="6"/>
      <c r="D116" s="6"/>
      <c r="E116" s="6"/>
      <c r="F116" s="6"/>
      <c r="G116" s="91">
        <v>45860.0</v>
      </c>
      <c r="H116" s="92">
        <v>12804.14</v>
      </c>
      <c r="I116" s="92">
        <v>16353.06</v>
      </c>
      <c r="J116" s="93">
        <v>-3548.92</v>
      </c>
      <c r="K116" s="92">
        <v>16673.37</v>
      </c>
      <c r="L116" s="92">
        <v>11433.6</v>
      </c>
      <c r="M116" s="93">
        <v>5239.769999999999</v>
      </c>
      <c r="N116" s="6"/>
      <c r="O116" s="6"/>
      <c r="P116" s="6"/>
      <c r="Q116" s="6"/>
      <c r="R116" s="6"/>
      <c r="S116" s="6"/>
    </row>
    <row r="117">
      <c r="A117" s="6"/>
      <c r="B117" s="6"/>
      <c r="C117" s="6"/>
      <c r="D117" s="6"/>
      <c r="E117" s="6"/>
      <c r="F117" s="6"/>
      <c r="G117" s="91"/>
      <c r="H117" s="92"/>
      <c r="I117" s="92"/>
      <c r="J117" s="93"/>
      <c r="K117" s="92"/>
      <c r="L117" s="92"/>
      <c r="M117" s="93"/>
      <c r="N117" s="6"/>
      <c r="O117" s="6"/>
      <c r="P117" s="6"/>
      <c r="Q117" s="6"/>
      <c r="R117" s="6"/>
      <c r="S117" s="6"/>
    </row>
    <row r="118">
      <c r="A118" s="6"/>
      <c r="B118" s="6"/>
      <c r="C118" s="6"/>
      <c r="D118" s="6"/>
      <c r="E118" s="6"/>
      <c r="F118" s="6"/>
      <c r="G118" s="91">
        <v>45859.0</v>
      </c>
      <c r="H118" s="92">
        <v>10823.67</v>
      </c>
      <c r="I118" s="92">
        <v>12504.9</v>
      </c>
      <c r="J118" s="93">
        <v>-1681.2299999999996</v>
      </c>
      <c r="K118" s="92">
        <v>13793.86</v>
      </c>
      <c r="L118" s="92">
        <v>10215.43</v>
      </c>
      <c r="M118" s="93">
        <v>3578.4300000000003</v>
      </c>
      <c r="N118" s="6"/>
      <c r="O118" s="6"/>
      <c r="P118" s="6"/>
      <c r="Q118" s="6"/>
      <c r="R118" s="6"/>
      <c r="S118" s="6"/>
    </row>
    <row r="119">
      <c r="A119" s="6"/>
      <c r="B119" s="6"/>
      <c r="C119" s="6"/>
      <c r="D119" s="6"/>
      <c r="E119" s="6"/>
      <c r="F119" s="6"/>
      <c r="G119" s="91"/>
      <c r="H119" s="92"/>
      <c r="I119" s="92"/>
      <c r="J119" s="93"/>
      <c r="K119" s="92"/>
      <c r="L119" s="92"/>
      <c r="M119" s="93"/>
      <c r="N119" s="6"/>
      <c r="O119" s="6"/>
      <c r="P119" s="6"/>
      <c r="Q119" s="6"/>
      <c r="R119" s="6"/>
      <c r="S119" s="6"/>
    </row>
    <row r="120">
      <c r="A120" s="6"/>
      <c r="B120" s="6"/>
      <c r="C120" s="6"/>
      <c r="D120" s="6"/>
      <c r="E120" s="6"/>
      <c r="F120" s="6"/>
      <c r="G120" s="91">
        <v>45856.0</v>
      </c>
      <c r="H120" s="92">
        <v>15430.85</v>
      </c>
      <c r="I120" s="92">
        <v>15056.11</v>
      </c>
      <c r="J120" s="93">
        <v>374.7399999999998</v>
      </c>
      <c r="K120" s="92">
        <v>14451.18</v>
      </c>
      <c r="L120" s="92">
        <v>12347.67</v>
      </c>
      <c r="M120" s="93">
        <v>2103.51</v>
      </c>
      <c r="N120" s="6"/>
      <c r="O120" s="6"/>
      <c r="P120" s="6"/>
      <c r="Q120" s="6"/>
      <c r="R120" s="6"/>
      <c r="S120" s="6"/>
    </row>
    <row r="121">
      <c r="A121" s="6"/>
      <c r="B121" s="6"/>
      <c r="C121" s="6"/>
      <c r="D121" s="6"/>
      <c r="E121" s="6"/>
      <c r="F121" s="6"/>
      <c r="G121" s="91"/>
      <c r="H121" s="92"/>
      <c r="I121" s="92"/>
      <c r="J121" s="93"/>
      <c r="K121" s="92"/>
      <c r="L121" s="92"/>
      <c r="M121" s="93"/>
      <c r="N121" s="6"/>
      <c r="O121" s="6"/>
      <c r="P121" s="6"/>
      <c r="Q121" s="6"/>
      <c r="R121" s="6"/>
      <c r="S121" s="6"/>
    </row>
    <row r="122">
      <c r="A122" s="6"/>
      <c r="B122" s="6"/>
      <c r="C122" s="6"/>
      <c r="D122" s="6"/>
      <c r="E122" s="6"/>
      <c r="F122" s="6"/>
      <c r="G122" s="91">
        <v>45855.0</v>
      </c>
      <c r="H122" s="92">
        <v>11633.02</v>
      </c>
      <c r="I122" s="92">
        <v>15327.33</v>
      </c>
      <c r="J122" s="93">
        <v>-3694.3099999999995</v>
      </c>
      <c r="K122" s="92">
        <v>13523.36</v>
      </c>
      <c r="L122" s="92">
        <v>10702.59</v>
      </c>
      <c r="M122" s="93">
        <v>2820.7700000000004</v>
      </c>
      <c r="N122" s="6"/>
      <c r="O122" s="6"/>
      <c r="P122" s="6"/>
      <c r="Q122" s="6"/>
      <c r="R122" s="6"/>
      <c r="S122" s="6"/>
    </row>
    <row r="123">
      <c r="A123" s="6"/>
      <c r="B123" s="6"/>
      <c r="C123" s="6"/>
      <c r="D123" s="6"/>
      <c r="E123" s="6"/>
      <c r="F123" s="6"/>
      <c r="G123" s="91"/>
      <c r="H123" s="92"/>
      <c r="I123" s="92"/>
      <c r="J123" s="93"/>
      <c r="K123" s="92"/>
      <c r="L123" s="92"/>
      <c r="M123" s="93"/>
      <c r="N123" s="6"/>
      <c r="O123" s="6"/>
      <c r="P123" s="6"/>
      <c r="Q123" s="6"/>
      <c r="R123" s="6"/>
      <c r="S123" s="6"/>
    </row>
    <row r="124">
      <c r="A124" s="6"/>
      <c r="B124" s="6"/>
      <c r="C124" s="6"/>
      <c r="D124" s="6"/>
      <c r="E124" s="6"/>
      <c r="F124" s="6"/>
      <c r="G124" s="91">
        <v>45854.0</v>
      </c>
      <c r="H124" s="92">
        <v>11002.49</v>
      </c>
      <c r="I124" s="92">
        <v>12860.64</v>
      </c>
      <c r="J124" s="93">
        <v>-1858.1499999999996</v>
      </c>
      <c r="K124" s="92">
        <v>12786.44</v>
      </c>
      <c r="L124" s="92">
        <v>11562.89</v>
      </c>
      <c r="M124" s="93">
        <v>1223.550000000001</v>
      </c>
      <c r="N124" s="6"/>
      <c r="O124" s="6"/>
      <c r="P124" s="6"/>
      <c r="Q124" s="6"/>
      <c r="R124" s="6"/>
      <c r="S124" s="6"/>
    </row>
    <row r="125">
      <c r="A125" s="6"/>
      <c r="B125" s="6"/>
      <c r="C125" s="6"/>
      <c r="D125" s="6"/>
      <c r="E125" s="6"/>
      <c r="F125" s="6"/>
      <c r="G125" s="91"/>
      <c r="H125" s="92"/>
      <c r="I125" s="92"/>
      <c r="J125" s="93"/>
      <c r="K125" s="92"/>
      <c r="L125" s="92"/>
      <c r="M125" s="93"/>
      <c r="N125" s="6"/>
      <c r="O125" s="6"/>
      <c r="P125" s="6"/>
      <c r="Q125" s="6"/>
      <c r="R125" s="6"/>
      <c r="S125" s="6"/>
    </row>
    <row r="126">
      <c r="A126" s="6"/>
      <c r="B126" s="6"/>
      <c r="C126" s="6"/>
      <c r="D126" s="6"/>
      <c r="E126" s="6"/>
      <c r="F126" s="6"/>
      <c r="G126" s="91">
        <v>45853.0</v>
      </c>
      <c r="H126" s="92">
        <v>11553.04</v>
      </c>
      <c r="I126" s="92">
        <v>11432.57</v>
      </c>
      <c r="J126" s="93">
        <v>120.47000000000116</v>
      </c>
      <c r="K126" s="92">
        <v>13710.83</v>
      </c>
      <c r="L126" s="92">
        <v>12155.8</v>
      </c>
      <c r="M126" s="93">
        <v>1555.0300000000007</v>
      </c>
      <c r="N126" s="6"/>
      <c r="O126" s="6"/>
      <c r="P126" s="6"/>
      <c r="Q126" s="6"/>
      <c r="R126" s="6"/>
      <c r="S126" s="6"/>
    </row>
    <row r="127">
      <c r="A127" s="6"/>
      <c r="B127" s="6"/>
      <c r="C127" s="6"/>
      <c r="D127" s="6"/>
      <c r="E127" s="6"/>
      <c r="F127" s="6"/>
      <c r="G127" s="91"/>
      <c r="H127" s="92"/>
      <c r="I127" s="92"/>
      <c r="J127" s="93"/>
      <c r="K127" s="92"/>
      <c r="L127" s="92"/>
      <c r="M127" s="93"/>
      <c r="N127" s="6"/>
      <c r="O127" s="6"/>
      <c r="P127" s="6"/>
      <c r="Q127" s="6"/>
      <c r="R127" s="6"/>
      <c r="S127" s="6"/>
    </row>
    <row r="128">
      <c r="A128" s="6"/>
      <c r="B128" s="6"/>
      <c r="C128" s="6"/>
      <c r="D128" s="6"/>
      <c r="E128" s="6"/>
      <c r="F128" s="6"/>
      <c r="G128" s="91">
        <v>45849.0</v>
      </c>
      <c r="H128" s="92">
        <v>11998.56</v>
      </c>
      <c r="I128" s="92">
        <v>17102.78</v>
      </c>
      <c r="J128" s="93">
        <v>-5104.219999999999</v>
      </c>
      <c r="K128" s="92">
        <v>15728.51</v>
      </c>
      <c r="L128" s="92">
        <v>12169.88</v>
      </c>
      <c r="M128" s="93">
        <v>3558.630000000001</v>
      </c>
      <c r="N128" s="6"/>
      <c r="O128" s="6"/>
      <c r="P128" s="6"/>
      <c r="Q128" s="6"/>
      <c r="R128" s="6"/>
      <c r="S128" s="6"/>
    </row>
    <row r="129">
      <c r="A129" s="6"/>
      <c r="B129" s="6"/>
      <c r="C129" s="6"/>
      <c r="D129" s="6"/>
      <c r="E129" s="6"/>
      <c r="F129" s="6"/>
      <c r="G129" s="94"/>
      <c r="H129" s="95"/>
      <c r="I129" s="95"/>
      <c r="J129" s="96"/>
      <c r="K129" s="95"/>
      <c r="L129" s="95"/>
      <c r="M129" s="96"/>
      <c r="N129" s="6"/>
      <c r="O129" s="6"/>
      <c r="P129" s="6"/>
      <c r="Q129" s="6"/>
      <c r="R129" s="6"/>
      <c r="S129" s="6"/>
    </row>
    <row r="130">
      <c r="A130" s="6"/>
      <c r="B130" s="6"/>
      <c r="C130" s="6"/>
      <c r="D130" s="6"/>
      <c r="E130" s="6"/>
      <c r="F130" s="6"/>
      <c r="G130" s="94">
        <v>45093.0</v>
      </c>
      <c r="H130" s="95">
        <v>17939.03</v>
      </c>
      <c r="I130" s="95">
        <v>17144.25</v>
      </c>
      <c r="J130" s="96">
        <v>794.78</v>
      </c>
      <c r="K130" s="95">
        <v>7945.59</v>
      </c>
      <c r="L130" s="95">
        <v>7264.26</v>
      </c>
      <c r="M130" s="96">
        <v>681.33</v>
      </c>
      <c r="N130" s="6"/>
      <c r="O130" s="6"/>
      <c r="P130" s="6"/>
      <c r="Q130" s="6"/>
      <c r="R130" s="6"/>
      <c r="S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>
      <c r="A132" s="6"/>
      <c r="B132" s="6"/>
      <c r="C132" s="6"/>
      <c r="D132" s="6"/>
      <c r="E132" s="6"/>
      <c r="F132" s="6"/>
      <c r="G132" s="94">
        <v>45092.0</v>
      </c>
      <c r="H132" s="95">
        <v>12641.91</v>
      </c>
      <c r="I132" s="95">
        <v>9556.4</v>
      </c>
      <c r="J132" s="97">
        <v>3085.51</v>
      </c>
      <c r="K132" s="95">
        <v>6798.75</v>
      </c>
      <c r="L132" s="95">
        <v>7096.63</v>
      </c>
      <c r="M132" s="98">
        <v>-297.88</v>
      </c>
      <c r="N132" s="6"/>
      <c r="O132" s="6"/>
      <c r="P132" s="6"/>
      <c r="Q132" s="6"/>
      <c r="R132" s="6"/>
      <c r="S132" s="6"/>
    </row>
    <row r="133">
      <c r="A133" s="6"/>
      <c r="B133" s="61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>
      <c r="A134" s="6"/>
      <c r="B134" s="61"/>
      <c r="C134" s="6"/>
      <c r="D134" s="6"/>
      <c r="E134" s="6"/>
      <c r="F134" s="6"/>
      <c r="G134" s="99">
        <v>45091.0</v>
      </c>
      <c r="H134" s="95">
        <v>10413.72</v>
      </c>
      <c r="I134" s="95">
        <v>8699.0</v>
      </c>
      <c r="J134" s="97">
        <v>1714.72</v>
      </c>
      <c r="K134" s="95">
        <v>6242.94</v>
      </c>
      <c r="L134" s="95">
        <v>6897.71</v>
      </c>
      <c r="M134" s="98">
        <v>-654.7</v>
      </c>
      <c r="N134" s="6"/>
      <c r="O134" s="6"/>
      <c r="P134" s="6"/>
      <c r="Q134" s="6"/>
      <c r="R134" s="6"/>
      <c r="S134" s="6"/>
    </row>
    <row r="135">
      <c r="A135" s="6"/>
      <c r="B135" s="61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</row>
    <row r="136">
      <c r="A136" s="6"/>
      <c r="B136" s="6"/>
      <c r="C136" s="6"/>
      <c r="D136" s="6"/>
      <c r="E136" s="6"/>
      <c r="F136" s="6"/>
      <c r="G136" s="99">
        <v>45090.0</v>
      </c>
      <c r="H136" s="95">
        <v>12967.79</v>
      </c>
      <c r="I136" s="95">
        <v>11290.19</v>
      </c>
      <c r="J136" s="97">
        <v>1677.6</v>
      </c>
      <c r="K136" s="95">
        <v>6753.95</v>
      </c>
      <c r="L136" s="95">
        <v>6957.27</v>
      </c>
      <c r="M136" s="98">
        <v>-203.32</v>
      </c>
      <c r="N136" s="6"/>
      <c r="O136" s="6"/>
      <c r="P136" s="6"/>
      <c r="Q136" s="6"/>
      <c r="R136" s="6"/>
      <c r="S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</row>
    <row r="138">
      <c r="A138" s="6"/>
      <c r="B138" s="61"/>
      <c r="C138" s="6"/>
      <c r="D138" s="6"/>
      <c r="E138" s="6"/>
      <c r="F138" s="6"/>
      <c r="G138" s="94">
        <v>45089.0</v>
      </c>
      <c r="H138" s="95">
        <v>6321.86</v>
      </c>
      <c r="I138" s="95">
        <v>6948.48</v>
      </c>
      <c r="J138" s="98">
        <v>-626.62</v>
      </c>
      <c r="K138" s="95">
        <v>6663.64</v>
      </c>
      <c r="L138" s="95">
        <v>4869.79</v>
      </c>
      <c r="M138" s="97">
        <v>1793.85</v>
      </c>
      <c r="N138" s="6"/>
      <c r="O138" s="6"/>
      <c r="P138" s="6"/>
      <c r="Q138" s="6"/>
      <c r="R138" s="6"/>
      <c r="S138" s="6"/>
    </row>
    <row r="139">
      <c r="A139" s="6"/>
      <c r="B139" s="100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</row>
  </sheetData>
  <mergeCells count="10">
    <mergeCell ref="G7:G8"/>
    <mergeCell ref="A8:E8"/>
    <mergeCell ref="H3:I3"/>
    <mergeCell ref="K3:L3"/>
    <mergeCell ref="H5:J5"/>
    <mergeCell ref="C6:D6"/>
    <mergeCell ref="Q6:R6"/>
    <mergeCell ref="H7:J7"/>
    <mergeCell ref="K7:M7"/>
    <mergeCell ref="O8:S8"/>
  </mergeCells>
  <conditionalFormatting sqref="E4:E6">
    <cfRule type="cellIs" dxfId="0" priority="1" operator="greaterThanOrEqual">
      <formula>0</formula>
    </cfRule>
  </conditionalFormatting>
  <conditionalFormatting sqref="E4:E6">
    <cfRule type="cellIs" dxfId="1" priority="2" operator="lessThan">
      <formula>0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0.88"/>
    <col customWidth="1" min="16" max="16" width="16.0"/>
    <col customWidth="1" min="17" max="17" width="7.75"/>
    <col customWidth="1" min="19" max="19" width="9.75"/>
  </cols>
  <sheetData>
    <row r="1">
      <c r="A1" s="101" t="s">
        <v>51</v>
      </c>
      <c r="B1" s="102" t="s">
        <v>142</v>
      </c>
      <c r="C1" s="103"/>
      <c r="D1" s="104"/>
      <c r="E1" s="6"/>
      <c r="F1" s="105"/>
      <c r="G1" s="105"/>
      <c r="H1" s="105"/>
      <c r="I1" s="105"/>
      <c r="J1" s="105"/>
      <c r="K1" s="105"/>
      <c r="L1" s="105"/>
      <c r="M1" s="105"/>
      <c r="N1" s="105"/>
      <c r="O1" s="106"/>
      <c r="P1" s="107"/>
      <c r="Q1" s="107"/>
      <c r="R1" s="107"/>
      <c r="S1" s="107"/>
      <c r="T1" s="107"/>
      <c r="U1" s="107"/>
      <c r="V1" s="107"/>
      <c r="W1" s="107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</row>
    <row r="2">
      <c r="A2" s="108" t="s">
        <v>143</v>
      </c>
      <c r="B2" s="109" t="s">
        <v>144</v>
      </c>
      <c r="C2" s="109" t="s">
        <v>145</v>
      </c>
      <c r="D2" s="110" t="s">
        <v>146</v>
      </c>
      <c r="E2" s="47"/>
      <c r="F2" s="111" t="s">
        <v>147</v>
      </c>
      <c r="G2" s="51"/>
      <c r="H2" s="51"/>
      <c r="I2" s="51"/>
      <c r="J2" s="51"/>
      <c r="K2" s="51"/>
      <c r="L2" s="51"/>
      <c r="M2" s="51"/>
      <c r="N2" s="51"/>
      <c r="O2" s="112"/>
      <c r="P2" s="113" t="s">
        <v>148</v>
      </c>
      <c r="Q2" s="113" t="s">
        <v>149</v>
      </c>
      <c r="R2" s="113" t="s">
        <v>150</v>
      </c>
      <c r="S2" s="114" t="s">
        <v>151</v>
      </c>
      <c r="T2" s="51"/>
      <c r="U2" s="51"/>
      <c r="V2" s="51"/>
      <c r="W2" s="52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</row>
    <row r="3">
      <c r="A3" s="47"/>
      <c r="B3" s="47"/>
      <c r="C3" s="47"/>
      <c r="D3" s="115"/>
      <c r="E3" s="47"/>
      <c r="F3" s="109" t="s">
        <v>46</v>
      </c>
      <c r="G3" s="109" t="s">
        <v>152</v>
      </c>
      <c r="H3" s="109" t="s">
        <v>153</v>
      </c>
      <c r="I3" s="109" t="s">
        <v>154</v>
      </c>
      <c r="J3" s="109" t="s">
        <v>155</v>
      </c>
      <c r="K3" s="109" t="s">
        <v>156</v>
      </c>
      <c r="L3" s="109" t="s">
        <v>157</v>
      </c>
      <c r="M3" s="109" t="s">
        <v>158</v>
      </c>
      <c r="N3" s="109" t="s">
        <v>159</v>
      </c>
      <c r="O3" s="112"/>
      <c r="P3" s="116"/>
      <c r="Q3" s="116"/>
      <c r="R3" s="116"/>
      <c r="S3" s="109" t="s">
        <v>160</v>
      </c>
      <c r="T3" s="109" t="s">
        <v>161</v>
      </c>
      <c r="U3" s="109" t="s">
        <v>162</v>
      </c>
      <c r="V3" s="109" t="s">
        <v>163</v>
      </c>
      <c r="W3" s="109" t="s">
        <v>164</v>
      </c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</row>
    <row r="4">
      <c r="A4" s="117">
        <v>1.0</v>
      </c>
      <c r="B4" s="6" t="s">
        <v>165</v>
      </c>
      <c r="C4" s="118" t="s">
        <v>166</v>
      </c>
      <c r="D4" s="119">
        <v>567.0</v>
      </c>
      <c r="E4" s="120"/>
      <c r="F4" s="119">
        <f>IFERROR(__xludf.DUMMYFUNCTION("GOOGLEFINANCE(B4,""price"")"),390.0)</f>
        <v>390</v>
      </c>
      <c r="G4" s="119">
        <f>IFERROR(__xludf.DUMMYFUNCTION("GOOGLEFINANCE(B4,""closeyest"")"),385.1)</f>
        <v>385.1</v>
      </c>
      <c r="H4" s="119">
        <f>IFERROR(__xludf.DUMMYFUNCTION("GOOGLEFINANCE(B4,""LOW52"")"),344.2)</f>
        <v>344.2</v>
      </c>
      <c r="I4" s="119">
        <f>IFERROR(__xludf.DUMMYFUNCTION("GOOGLEFINANCE(B4,""HIGH52"")"),525.45)</f>
        <v>525.45</v>
      </c>
      <c r="J4" s="119">
        <f>IFERROR(__xludf.DUMMYFUNCTION("GOOGLEFINANCE(B4,""VOLUME"")"),959594.0)</f>
        <v>959594</v>
      </c>
      <c r="K4" s="119">
        <f>IFERROR(__xludf.DUMMYFUNCTION("GOOGLEFINANCE(B4,""marketcap"")"),1.41618357657E11)</f>
        <v>141618357657</v>
      </c>
      <c r="L4" s="119">
        <f>IFERROR(__xludf.DUMMYFUNCTION("GOOGLEFINANCE(B4,""shares"")"),8.13E7)</f>
        <v>81300000</v>
      </c>
      <c r="M4" s="117">
        <f>IFERROR(__xludf.DUMMYFUNCTION("GOOGLEFINANCE(B4,""EPS"")"),6.54)</f>
        <v>6.54</v>
      </c>
      <c r="N4" s="117">
        <f>IFERROR(__xludf.DUMMYFUNCTION("GOOGLEFINANCE(B4,""PE"")"),59.63)</f>
        <v>59.63</v>
      </c>
      <c r="O4" s="121"/>
      <c r="P4" s="120"/>
      <c r="Q4" s="120"/>
      <c r="R4" s="6"/>
      <c r="S4" s="120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</row>
    <row r="5">
      <c r="A5" s="119">
        <v>2.0</v>
      </c>
      <c r="B5" s="6" t="s">
        <v>167</v>
      </c>
      <c r="C5" s="6"/>
      <c r="D5" s="117">
        <v>17500.0</v>
      </c>
      <c r="E5" s="6"/>
      <c r="F5" s="117">
        <f>IFERROR(__xludf.DUMMYFUNCTION("GOOGLEFINANCE(B5,""price"")"),29500.0)</f>
        <v>29500</v>
      </c>
      <c r="G5" s="117">
        <f>IFERROR(__xludf.DUMMYFUNCTION("GOOGLEFINANCE(B5,""closeyest"")"),29360.0)</f>
        <v>29360</v>
      </c>
      <c r="H5" s="117">
        <f>IFERROR(__xludf.DUMMYFUNCTION("GOOGLEFINANCE(B5,""LOW52"")"),25325.0)</f>
        <v>25325</v>
      </c>
      <c r="I5" s="117">
        <f>IFERROR(__xludf.DUMMYFUNCTION("GOOGLEFINANCE(B5,""HIGH52"")"),37000.0)</f>
        <v>37000</v>
      </c>
      <c r="J5" s="117">
        <f>IFERROR(__xludf.DUMMYFUNCTION("GOOGLEFINANCE(B5,""VOLUME"")"),55284.0)</f>
        <v>55284</v>
      </c>
      <c r="K5" s="117">
        <f>IFERROR(__xludf.DUMMYFUNCTION("GOOGLEFINANCE(B5,""marketcap"")"),6.26212755553E11)</f>
        <v>626212755553</v>
      </c>
      <c r="L5" s="117">
        <f>IFERROR(__xludf.DUMMYFUNCTION("GOOGLEFINANCE(B5,""shares"")"),2.1249302E7)</f>
        <v>21249302</v>
      </c>
      <c r="M5" s="117">
        <f>IFERROR(__xludf.DUMMYFUNCTION("GOOGLEFINANCE(B5,""EPS"")"),683.46)</f>
        <v>683.46</v>
      </c>
      <c r="N5" s="117">
        <f>IFERROR(__xludf.DUMMYFUNCTION("GOOGLEFINANCE(B5,""PE"")"),43.16)</f>
        <v>43.16</v>
      </c>
      <c r="O5" s="10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</row>
    <row r="6">
      <c r="A6" s="117">
        <v>3.0</v>
      </c>
      <c r="B6" s="6" t="s">
        <v>168</v>
      </c>
      <c r="C6" s="6"/>
      <c r="D6" s="117">
        <v>220.0</v>
      </c>
      <c r="E6" s="6"/>
      <c r="F6" s="117">
        <f>IFERROR(__xludf.DUMMYFUNCTION("GOOGLEFINANCE(B6,""price"")"),77.94)</f>
        <v>77.94</v>
      </c>
      <c r="G6" s="117">
        <f>IFERROR(__xludf.DUMMYFUNCTION("GOOGLEFINANCE(B6,""closeyest"")"),84.12)</f>
        <v>84.12</v>
      </c>
      <c r="H6" s="117">
        <f>IFERROR(__xludf.DUMMYFUNCTION("GOOGLEFINANCE(B6,""LOW52"")"),70.55)</f>
        <v>70.55</v>
      </c>
      <c r="I6" s="117">
        <f>IFERROR(__xludf.DUMMYFUNCTION("GOOGLEFINANCE(B6,""HIGH52"")"),108.65)</f>
        <v>108.65</v>
      </c>
      <c r="J6" s="119">
        <f>IFERROR(__xludf.DUMMYFUNCTION("GOOGLEFINANCE(B6,""VOLUME"")"),1.7503478E7)</f>
        <v>17503478</v>
      </c>
      <c r="K6" s="117">
        <f>IFERROR(__xludf.DUMMYFUNCTION("GOOGLEFINANCE(B6,""marketcap"")"),9.5074455983E10)</f>
        <v>95074455983</v>
      </c>
      <c r="L6" s="117">
        <f>IFERROR(__xludf.DUMMYFUNCTION("GOOGLEFINANCE(B6,""shares"")"),7.71738176E8)</f>
        <v>771738176</v>
      </c>
      <c r="M6" s="117">
        <f>IFERROR(__xludf.DUMMYFUNCTION("GOOGLEFINANCE(B6,""EPS"")"),-4.18)</f>
        <v>-4.18</v>
      </c>
      <c r="N6" s="17" t="str">
        <f>IFERROR(__xludf.DUMMYFUNCTION("GOOGLEFINANCE(B6,""PE"")"),"#N/A")</f>
        <v>#N/A</v>
      </c>
      <c r="O6" s="121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</row>
    <row r="7">
      <c r="A7" s="117">
        <v>4.0</v>
      </c>
      <c r="B7" s="6" t="s">
        <v>169</v>
      </c>
      <c r="C7" s="6"/>
      <c r="D7" s="117">
        <v>2200.0</v>
      </c>
      <c r="E7" s="6"/>
      <c r="F7" s="117">
        <f>IFERROR(__xludf.DUMMYFUNCTION("GOOGLEFINANCE(""NSE:ACC"",""price"")"),1829.9)</f>
        <v>1829.9</v>
      </c>
      <c r="G7" s="117">
        <f>IFERROR(__xludf.DUMMYFUNCTION("GOOGLEFINANCE(""NSE:ACC"",""closeyest"")"),1832.6)</f>
        <v>1832.6</v>
      </c>
      <c r="H7" s="17" t="str">
        <f>IFERROR(__xludf.DUMMYFUNCTION("GOOGLEFINANCE(B7,""LOW52"")"),"#N/A")</f>
        <v>#N/A</v>
      </c>
      <c r="I7" s="17" t="str">
        <f>IFERROR(__xludf.DUMMYFUNCTION("GOOGLEFINANCE(B7,""HIGH52"")"),"#N/A")</f>
        <v>#N/A</v>
      </c>
      <c r="J7" s="17" t="str">
        <f>IFERROR(__xludf.DUMMYFUNCTION("GOOGLEFINANCE(B7,""VOLUME"")"),"#N/A")</f>
        <v>#N/A</v>
      </c>
      <c r="K7" s="17" t="str">
        <f>IFERROR(__xludf.DUMMYFUNCTION("GOOGLEFINANCE(B7,""marketcap"")"),"#N/A")</f>
        <v>#N/A</v>
      </c>
      <c r="L7" s="17" t="str">
        <f>IFERROR(__xludf.DUMMYFUNCTION("GOOGLEFINANCE(B7,""shares"")"),"#N/A")</f>
        <v>#N/A</v>
      </c>
      <c r="M7" s="17" t="str">
        <f>IFERROR(__xludf.DUMMYFUNCTION("GOOGLEFINANCE(B7,""EPS"")"),"#N/A")</f>
        <v>#N/A</v>
      </c>
      <c r="N7" s="17" t="str">
        <f>IFERROR(__xludf.DUMMYFUNCTION("GOOGLEFINANCE(B7,""PE"")"),"#N/A")</f>
        <v>#N/A</v>
      </c>
      <c r="O7" s="121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</row>
    <row r="8">
      <c r="A8" s="117">
        <v>5.0</v>
      </c>
      <c r="B8" s="6" t="s">
        <v>170</v>
      </c>
      <c r="C8" s="6"/>
      <c r="D8" s="117">
        <v>3110.0</v>
      </c>
      <c r="E8" s="6"/>
      <c r="F8" s="117">
        <f>IFERROR(__xludf.DUMMYFUNCTION("GOOGLEFINANCE(B8,""price"")"),2311.0)</f>
        <v>2311</v>
      </c>
      <c r="G8" s="117">
        <f>IFERROR(__xludf.DUMMYFUNCTION("GOOGLEFINANCE(B8,""closeyest"")"),2419.8)</f>
        <v>2419.8</v>
      </c>
      <c r="H8" s="117">
        <f>IFERROR(__xludf.DUMMYFUNCTION("GOOGLEFINANCE(B8,""LOW52"")"),2025.0)</f>
        <v>2025</v>
      </c>
      <c r="I8" s="117">
        <f>IFERROR(__xludf.DUMMYFUNCTION("GOOGLEFINANCE(B8,""HIGH52"")"),3070.0)</f>
        <v>3070</v>
      </c>
      <c r="J8" s="117">
        <f>IFERROR(__xludf.DUMMYFUNCTION("GOOGLEFINANCE(B8,""VOLUME"")"),1978147.0)</f>
        <v>1978147</v>
      </c>
      <c r="K8" s="117">
        <f>IFERROR(__xludf.DUMMYFUNCTION("GOOGLEFINANCE(B8,""marketcap"")"),2.670861044763E12)</f>
        <v>2670861044763</v>
      </c>
      <c r="L8" s="117">
        <f>IFERROR(__xludf.DUMMYFUNCTION("GOOGLEFINANCE(B8,""shares"")"),1.099800064E9)</f>
        <v>1099800064</v>
      </c>
      <c r="M8" s="117">
        <f>IFERROR(__xludf.DUMMYFUNCTION("GOOGLEFINANCE(B8,""EPS"")"),60.56)</f>
        <v>60.56</v>
      </c>
      <c r="N8" s="117">
        <f>IFERROR(__xludf.DUMMYFUNCTION("GOOGLEFINANCE(B8,""PE"")"),38.16)</f>
        <v>38.16</v>
      </c>
      <c r="O8" s="121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</row>
    <row r="9">
      <c r="A9" s="117">
        <v>6.0</v>
      </c>
      <c r="B9" s="6" t="s">
        <v>171</v>
      </c>
      <c r="C9" s="6"/>
      <c r="D9" s="117">
        <v>770.0</v>
      </c>
      <c r="E9" s="6"/>
      <c r="F9" s="117">
        <f>IFERROR(__xludf.DUMMYFUNCTION("GOOGLEFINANCE(B9,""price"")"),1435.7)</f>
        <v>1435.7</v>
      </c>
      <c r="G9" s="117">
        <f>IFERROR(__xludf.DUMMYFUNCTION("GOOGLEFINANCE(B9,""closeyest"")"),1444.4)</f>
        <v>1444.4</v>
      </c>
      <c r="H9" s="117">
        <f>IFERROR(__xludf.DUMMYFUNCTION("GOOGLEFINANCE(B9,""LOW52"")"),995.65)</f>
        <v>995.65</v>
      </c>
      <c r="I9" s="117">
        <f>IFERROR(__xludf.DUMMYFUNCTION("GOOGLEFINANCE(B9,""HIGH52"")"),1494.0)</f>
        <v>1494</v>
      </c>
      <c r="J9" s="117">
        <f>IFERROR(__xludf.DUMMYFUNCTION("GOOGLEFINANCE(B9,""VOLUME"")"),2745063.0)</f>
        <v>2745063</v>
      </c>
      <c r="K9" s="117">
        <f>IFERROR(__xludf.DUMMYFUNCTION("GOOGLEFINANCE(B9,""marketcap"")"),3.104333536226E12)</f>
        <v>3104333536226</v>
      </c>
      <c r="L9" s="117">
        <f>IFERROR(__xludf.DUMMYFUNCTION("GOOGLEFINANCE(B9,""shares"")"),2.070950016E9)</f>
        <v>2070950016</v>
      </c>
      <c r="M9" s="117">
        <f>IFERROR(__xludf.DUMMYFUNCTION("GOOGLEFINANCE(B9,""EPS"")"),55.35)</f>
        <v>55.35</v>
      </c>
      <c r="N9" s="117">
        <f>IFERROR(__xludf.DUMMYFUNCTION("GOOGLEFINANCE(B9,""PE"")"),25.94)</f>
        <v>25.94</v>
      </c>
      <c r="O9" s="121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</row>
    <row r="10">
      <c r="A10" s="117">
        <v>7.0</v>
      </c>
      <c r="B10" s="6" t="s">
        <v>172</v>
      </c>
      <c r="C10" s="6"/>
      <c r="D10" s="117">
        <v>2850.0</v>
      </c>
      <c r="E10" s="6"/>
      <c r="F10" s="117">
        <f>IFERROR(__xludf.DUMMYFUNCTION("GOOGLEFINANCE(B10,""price"")"),5631.5)</f>
        <v>5631.5</v>
      </c>
      <c r="G10" s="117">
        <f>IFERROR(__xludf.DUMMYFUNCTION("GOOGLEFINANCE(B10,""closeyest"")"),5664.0)</f>
        <v>5664</v>
      </c>
      <c r="H10" s="117">
        <f>IFERROR(__xludf.DUMMYFUNCTION("GOOGLEFINANCE(B10,""LOW52"")"),4491.65)</f>
        <v>4491.65</v>
      </c>
      <c r="I10" s="117">
        <f>IFERROR(__xludf.DUMMYFUNCTION("GOOGLEFINANCE(B10,""HIGH52"")"),5958.9)</f>
        <v>5958.9</v>
      </c>
      <c r="J10" s="117">
        <f>IFERROR(__xludf.DUMMYFUNCTION("GOOGLEFINANCE(B10,""VOLUME"")"),152300.0)</f>
        <v>152300</v>
      </c>
      <c r="K10" s="117">
        <f>IFERROR(__xludf.DUMMYFUNCTION("GOOGLEFINANCE(B10,""marketcap"")"),6.733302975E11)</f>
        <v>673330297500</v>
      </c>
      <c r="L10" s="117">
        <f>IFERROR(__xludf.DUMMYFUNCTION("GOOGLEFINANCE(B10,""shares"")"),1.1955E8)</f>
        <v>119550000</v>
      </c>
      <c r="M10" s="117">
        <f>IFERROR(__xludf.DUMMYFUNCTION("GOOGLEFINANCE(B10,""EPS"")"),191.08)</f>
        <v>191.08</v>
      </c>
      <c r="N10" s="117">
        <f>IFERROR(__xludf.DUMMYFUNCTION("GOOGLEFINANCE(B10,""PE"")"),29.47)</f>
        <v>29.47</v>
      </c>
      <c r="O10" s="12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</row>
    <row r="11">
      <c r="A11" s="117">
        <v>8.0</v>
      </c>
      <c r="B11" s="6" t="s">
        <v>173</v>
      </c>
      <c r="C11" s="6"/>
      <c r="D11" s="117">
        <v>480.0</v>
      </c>
      <c r="E11" s="6"/>
      <c r="F11" s="17" t="str">
        <f>IFERROR(__xludf.DUMMYFUNCTION("GOOGLEFINANCE(B11,""price"")"),"#N/A")</f>
        <v>#N/A</v>
      </c>
      <c r="G11" s="17" t="str">
        <f>IFERROR(__xludf.DUMMYFUNCTION("GOOGLEFINANCE(B11,""closeyest"")"),"#N/A")</f>
        <v>#N/A</v>
      </c>
      <c r="H11" s="17" t="str">
        <f>IFERROR(__xludf.DUMMYFUNCTION("GOOGLEFINANCE(B11,""LOW52"")"),"#N/A")</f>
        <v>#N/A</v>
      </c>
      <c r="I11" s="17" t="str">
        <f>IFERROR(__xludf.DUMMYFUNCTION("GOOGLEFINANCE(B11,""HIGH52"")"),"#N/A")</f>
        <v>#N/A</v>
      </c>
      <c r="J11" s="122" t="str">
        <f>IFERROR(__xludf.DUMMYFUNCTION("GOOGLEFINANCE(B11,""VOLUME"")"),"#N/A")</f>
        <v>#N/A</v>
      </c>
      <c r="K11" s="17" t="str">
        <f>IFERROR(__xludf.DUMMYFUNCTION("GOOGLEFINANCE(B11,""marketcap"")"),"#N/A")</f>
        <v>#N/A</v>
      </c>
      <c r="L11" s="17" t="str">
        <f>IFERROR(__xludf.DUMMYFUNCTION("GOOGLEFINANCE(B11,""shares"")"),"#N/A")</f>
        <v>#N/A</v>
      </c>
      <c r="M11" s="17" t="str">
        <f>IFERROR(__xludf.DUMMYFUNCTION("GOOGLEFINANCE(B11,""EPS"")"),"#N/A")</f>
        <v>#N/A</v>
      </c>
      <c r="N11" s="17" t="str">
        <f>IFERROR(__xludf.DUMMYFUNCTION("GOOGLEFINANCE(B11,""PE"")"),"#N/A")</f>
        <v>#N/A</v>
      </c>
      <c r="O11" s="12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</row>
    <row r="12">
      <c r="A12" s="117">
        <v>9.0</v>
      </c>
      <c r="B12" s="6" t="s">
        <v>174</v>
      </c>
      <c r="C12" s="6"/>
      <c r="D12" s="117">
        <v>486.0</v>
      </c>
      <c r="E12" s="6"/>
      <c r="F12" s="117">
        <f>IFERROR(__xludf.DUMMYFUNCTION("GOOGLEFINANCE(B12,""price"")"),557.5)</f>
        <v>557.5</v>
      </c>
      <c r="G12" s="117">
        <f>IFERROR(__xludf.DUMMYFUNCTION("GOOGLEFINANCE(B12,""closeyest"")"),567.4)</f>
        <v>567.4</v>
      </c>
      <c r="H12" s="117">
        <f>IFERROR(__xludf.DUMMYFUNCTION("GOOGLEFINANCE(B12,""LOW52"")"),453.05)</f>
        <v>453.05</v>
      </c>
      <c r="I12" s="117">
        <f>IFERROR(__xludf.DUMMYFUNCTION("GOOGLEFINANCE(B12,""HIGH52"")"),624.95)</f>
        <v>624.95</v>
      </c>
      <c r="J12" s="119">
        <f>IFERROR(__xludf.DUMMYFUNCTION("GOOGLEFINANCE(B12,""VOLUME"")"),1388630.0)</f>
        <v>1388630</v>
      </c>
      <c r="K12" s="117">
        <f>IFERROR(__xludf.DUMMYFUNCTION("GOOGLEFINANCE(B12,""marketcap"")"),1.228325442237E12)</f>
        <v>1228325442237</v>
      </c>
      <c r="L12" s="117">
        <f>IFERROR(__xludf.DUMMYFUNCTION("GOOGLEFINANCE(B12,""shares"")"),1.985650048E9)</f>
        <v>1985650048</v>
      </c>
      <c r="M12" s="117">
        <f>IFERROR(__xludf.DUMMYFUNCTION("GOOGLEFINANCE(B12,""EPS"")"),22.82)</f>
        <v>22.82</v>
      </c>
      <c r="N12" s="117">
        <f>IFERROR(__xludf.DUMMYFUNCTION("GOOGLEFINANCE(B12,""PE"")"),24.43)</f>
        <v>24.43</v>
      </c>
      <c r="O12" s="12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</row>
    <row r="13">
      <c r="A13" s="117">
        <v>10.0</v>
      </c>
      <c r="B13" s="6" t="s">
        <v>175</v>
      </c>
      <c r="C13" s="6"/>
      <c r="D13" s="117">
        <v>540.0</v>
      </c>
      <c r="E13" s="6"/>
      <c r="F13" s="117">
        <f>IFERROR(__xludf.DUMMYFUNCTION("GOOGLEFINANCE(B13,""price"")"),913.0)</f>
        <v>913</v>
      </c>
      <c r="G13" s="117">
        <f>IFERROR(__xludf.DUMMYFUNCTION("GOOGLEFINANCE(B13,""closeyest"")"),960.7)</f>
        <v>960.7</v>
      </c>
      <c r="H13" s="117">
        <f>IFERROR(__xludf.DUMMYFUNCTION("GOOGLEFINANCE(B13,""LOW52"")"),725.2)</f>
        <v>725.2</v>
      </c>
      <c r="I13" s="117">
        <f>IFERROR(__xludf.DUMMYFUNCTION("GOOGLEFINANCE(B13,""HIGH52"")"),1152.0)</f>
        <v>1152</v>
      </c>
      <c r="J13" s="119">
        <f>IFERROR(__xludf.DUMMYFUNCTION("GOOGLEFINANCE(B13,""VOLUME"")"),337208.0)</f>
        <v>337208</v>
      </c>
      <c r="K13" s="117">
        <f>IFERROR(__xludf.DUMMYFUNCTION("GOOGLEFINANCE(B13,""marketcap"")"),1.79874535456E11)</f>
        <v>179874535456</v>
      </c>
      <c r="L13" s="117">
        <f>IFERROR(__xludf.DUMMYFUNCTION("GOOGLEFINANCE(B13,""shares"")"),1.885E8)</f>
        <v>188500000</v>
      </c>
      <c r="M13" s="117">
        <f>IFERROR(__xludf.DUMMYFUNCTION("GOOGLEFINANCE(B13,""EPS"")"),32.31)</f>
        <v>32.31</v>
      </c>
      <c r="N13" s="117">
        <f>IFERROR(__xludf.DUMMYFUNCTION("GOOGLEFINANCE(B13,""PE"")"),28.26)</f>
        <v>28.26</v>
      </c>
      <c r="O13" s="12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</row>
    <row r="14">
      <c r="A14" s="117">
        <v>11.0</v>
      </c>
      <c r="B14" s="6" t="s">
        <v>176</v>
      </c>
      <c r="C14" s="6"/>
      <c r="D14" s="117">
        <v>4200.0</v>
      </c>
      <c r="E14" s="6"/>
      <c r="F14" s="117">
        <f>IFERROR(__xludf.DUMMYFUNCTION("GOOGLEFINANCE(B14,""price"")"),7783.0)</f>
        <v>7783</v>
      </c>
      <c r="G14" s="117">
        <f>IFERROR(__xludf.DUMMYFUNCTION("GOOGLEFINANCE(B14,""closeyest"")"),7810.5)</f>
        <v>7810.5</v>
      </c>
      <c r="H14" s="117">
        <f>IFERROR(__xludf.DUMMYFUNCTION("GOOGLEFINANCE(B14,""LOW52"")"),6001.0)</f>
        <v>6001</v>
      </c>
      <c r="I14" s="117">
        <f>IFERROR(__xludf.DUMMYFUNCTION("GOOGLEFINANCE(B14,""HIGH52"")"),8099.5)</f>
        <v>8099.5</v>
      </c>
      <c r="J14" s="119">
        <f>IFERROR(__xludf.DUMMYFUNCTION("GOOGLEFINANCE(B14,""VOLUME"")"),425649.0)</f>
        <v>425649</v>
      </c>
      <c r="K14" s="117">
        <f>IFERROR(__xludf.DUMMYFUNCTION("GOOGLEFINANCE(B14,""marketcap"")"),1.121880662683E12)</f>
        <v>1121880662683</v>
      </c>
      <c r="L14" s="117">
        <f>IFERROR(__xludf.DUMMYFUNCTION("GOOGLEFINANCE(B14,""shares"")"),1.39125152E8)</f>
        <v>139125152</v>
      </c>
      <c r="M14" s="117">
        <f>IFERROR(__xludf.DUMMYFUNCTION("GOOGLEFINANCE(B14,""EPS"")"),109.43)</f>
        <v>109.43</v>
      </c>
      <c r="N14" s="117">
        <f>IFERROR(__xludf.DUMMYFUNCTION("GOOGLEFINANCE(B14,""PE"")"),71.12)</f>
        <v>71.12</v>
      </c>
      <c r="O14" s="12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</row>
    <row r="15">
      <c r="A15" s="117">
        <v>12.0</v>
      </c>
      <c r="B15" s="6" t="s">
        <v>177</v>
      </c>
      <c r="C15" s="6"/>
      <c r="D15" s="117">
        <v>260.0</v>
      </c>
      <c r="E15" s="6"/>
      <c r="F15" s="6"/>
      <c r="G15" s="117">
        <f>IFERROR(__xludf.DUMMYFUNCTION("GOOGLEFINANCE(B15,""closeyest"")"),522.35)</f>
        <v>522.35</v>
      </c>
      <c r="H15" s="117">
        <f>IFERROR(__xludf.DUMMYFUNCTION("GOOGLEFINANCE(B15,""LOW52"")"),370.9)</f>
        <v>370.9</v>
      </c>
      <c r="I15" s="117">
        <f>IFERROR(__xludf.DUMMYFUNCTION("GOOGLEFINANCE(B15,""HIGH52"")"),557.0)</f>
        <v>557</v>
      </c>
      <c r="J15" s="119">
        <f>IFERROR(__xludf.DUMMYFUNCTION("GOOGLEFINANCE(B15,""VOLUME"")"),562329.0)</f>
        <v>562329</v>
      </c>
      <c r="K15" s="117">
        <f>IFERROR(__xludf.DUMMYFUNCTION("GOOGLEFINANCE(B15,""marketcap"")"),3.20807198112E11)</f>
        <v>320807198112</v>
      </c>
      <c r="L15" s="117">
        <f>IFERROR(__xludf.DUMMYFUNCTION("GOOGLEFINANCE(B15,""shares"")"),5.72049984E8)</f>
        <v>572049984</v>
      </c>
      <c r="M15" s="117">
        <f>IFERROR(__xludf.DUMMYFUNCTION("GOOGLEFINANCE(B15,""EPS"")"),13.1)</f>
        <v>13.1</v>
      </c>
      <c r="N15" s="117">
        <f>IFERROR(__xludf.DUMMYFUNCTION("GOOGLEFINANCE(B15,""PE"")"),38.56)</f>
        <v>38.56</v>
      </c>
      <c r="O15" s="12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</row>
    <row r="16">
      <c r="A16" s="117">
        <v>13.0</v>
      </c>
      <c r="B16" s="6" t="s">
        <v>81</v>
      </c>
      <c r="C16" s="6"/>
      <c r="D16" s="117">
        <v>135.0</v>
      </c>
      <c r="E16" s="6"/>
      <c r="F16" s="117">
        <f>IFERROR(__xludf.DUMMYFUNCTION("GOOGLEFINANCE(B16,""price"")"),140.4)</f>
        <v>140.4</v>
      </c>
      <c r="G16" s="117">
        <f>IFERROR(__xludf.DUMMYFUNCTION("GOOGLEFINANCE(B16,""closeyest"")"),140.44)</f>
        <v>140.44</v>
      </c>
      <c r="H16" s="117">
        <f>IFERROR(__xludf.DUMMYFUNCTION("GOOGLEFINANCE(B16,""LOW52"")"),95.93)</f>
        <v>95.93</v>
      </c>
      <c r="I16" s="117">
        <f>IFERROR(__xludf.DUMMYFUNCTION("GOOGLEFINANCE(B16,""HIGH52"")"),144.5)</f>
        <v>144.5</v>
      </c>
      <c r="J16" s="119">
        <f>IFERROR(__xludf.DUMMYFUNCTION("GOOGLEFINANCE(B16,""VOLUME"")"),1.7435511E7)</f>
        <v>17435511</v>
      </c>
      <c r="K16" s="117">
        <f>IFERROR(__xludf.DUMMYFUNCTION("GOOGLEFINANCE(B16,""marketcap"")"),8.28979136703E11)</f>
        <v>828979136703</v>
      </c>
      <c r="L16" s="117">
        <f>IFERROR(__xludf.DUMMYFUNCTION("GOOGLEFINANCE(B16,""shares"")"),2.935527168E9)</f>
        <v>2935527168</v>
      </c>
      <c r="M16" s="117">
        <f>IFERROR(__xludf.DUMMYFUNCTION("GOOGLEFINANCE(B16,""EPS"")"),5.46)</f>
        <v>5.46</v>
      </c>
      <c r="N16" s="117">
        <f>IFERROR(__xludf.DUMMYFUNCTION("GOOGLEFINANCE(B16,""PE"")"),25.74)</f>
        <v>25.74</v>
      </c>
      <c r="O16" s="12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</row>
    <row r="17">
      <c r="A17" s="117">
        <v>14.0</v>
      </c>
      <c r="B17" s="6" t="s">
        <v>178</v>
      </c>
      <c r="C17" s="6"/>
      <c r="D17" s="117">
        <v>2600.0</v>
      </c>
      <c r="E17" s="6"/>
      <c r="F17" s="117">
        <f>IFERROR(__xludf.DUMMYFUNCTION("GOOGLEFINANCE(B17,""price"")"),2602.1)</f>
        <v>2602.1</v>
      </c>
      <c r="G17" s="117">
        <f>IFERROR(__xludf.DUMMYFUNCTION("GOOGLEFINANCE(B17,""closeyest"")"),2486.7)</f>
        <v>2486.7</v>
      </c>
      <c r="H17" s="117">
        <f>IFERROR(__xludf.DUMMYFUNCTION("GOOGLEFINANCE(B17,""LOW52"")"),2124.75)</f>
        <v>2124.75</v>
      </c>
      <c r="I17" s="117">
        <f>IFERROR(__xludf.DUMMYFUNCTION("GOOGLEFINANCE(B17,""HIGH52"")"),2907.85)</f>
        <v>2907.85</v>
      </c>
      <c r="J17" s="119">
        <f>IFERROR(__xludf.DUMMYFUNCTION("GOOGLEFINANCE(B17,""VOLUME"")"),4448622.0)</f>
        <v>4448622</v>
      </c>
      <c r="K17" s="117">
        <f>IFERROR(__xludf.DUMMYFUNCTION("GOOGLEFINANCE(B17,""marketcap"")"),2.4964764815E12)</f>
        <v>2496476481500</v>
      </c>
      <c r="L17" s="117">
        <f>IFERROR(__xludf.DUMMYFUNCTION("GOOGLEFINANCE(B17,""shares"")"),9.592E8)</f>
        <v>959200000</v>
      </c>
      <c r="M17" s="117">
        <f>IFERROR(__xludf.DUMMYFUNCTION("GOOGLEFINANCE(B17,""EPS"")"),37.51)</f>
        <v>37.51</v>
      </c>
      <c r="N17" s="117">
        <f>IFERROR(__xludf.DUMMYFUNCTION("GOOGLEFINANCE(B17,""PE"")"),69.38)</f>
        <v>69.38</v>
      </c>
      <c r="O17" s="12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</row>
    <row r="18">
      <c r="A18" s="117">
        <v>15.0</v>
      </c>
      <c r="B18" s="6" t="s">
        <v>14</v>
      </c>
      <c r="C18" s="6"/>
      <c r="D18" s="117">
        <v>1880.0</v>
      </c>
      <c r="E18" s="6"/>
      <c r="F18" s="117">
        <f>IFERROR(__xludf.DUMMYFUNCTION("GOOGLEFINANCE(B18,""price"")"),1572.0)</f>
        <v>1572</v>
      </c>
      <c r="G18" s="117">
        <f>IFERROR(__xludf.DUMMYFUNCTION("GOOGLEFINANCE(B18,""closeyest"")"),1467.2)</f>
        <v>1467.2</v>
      </c>
      <c r="H18" s="117">
        <f>IFERROR(__xludf.DUMMYFUNCTION("GOOGLEFINANCE(B18,""LOW52"")"),1232.3)</f>
        <v>1232.3</v>
      </c>
      <c r="I18" s="117">
        <f>IFERROR(__xludf.DUMMYFUNCTION("GOOGLEFINANCE(B18,""HIGH52"")"),1867.0)</f>
        <v>1867</v>
      </c>
      <c r="J18" s="119">
        <f>IFERROR(__xludf.DUMMYFUNCTION("GOOGLEFINANCE(B18,""VOLUME"")"),5837826.0)</f>
        <v>5837826</v>
      </c>
      <c r="K18" s="117">
        <f>IFERROR(__xludf.DUMMYFUNCTION("GOOGLEFINANCE(B18,""marketcap"")"),4.205541821E11)</f>
        <v>420554182100</v>
      </c>
      <c r="L18" s="117">
        <f>IFERROR(__xludf.DUMMYFUNCTION("GOOGLEFINANCE(B18,""shares"")"),1.19806568E8)</f>
        <v>119806568</v>
      </c>
      <c r="M18" s="117">
        <f>IFERROR(__xludf.DUMMYFUNCTION("GOOGLEFINANCE(B18,""EPS"")"),18.05)</f>
        <v>18.05</v>
      </c>
      <c r="N18" s="117">
        <f>IFERROR(__xludf.DUMMYFUNCTION("GOOGLEFINANCE(B18,""PE"")"),87.09)</f>
        <v>87.09</v>
      </c>
      <c r="O18" s="12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</row>
    <row r="19">
      <c r="A19" s="117">
        <v>16.0</v>
      </c>
      <c r="B19" s="6" t="s">
        <v>179</v>
      </c>
      <c r="C19" s="6"/>
      <c r="D19" s="117">
        <v>7500.0</v>
      </c>
      <c r="E19" s="6"/>
      <c r="F19" s="117">
        <f>IFERROR(__xludf.DUMMYFUNCTION("GOOGLEFINANCE(B19,""price"")"),5753.0)</f>
        <v>5753</v>
      </c>
      <c r="G19" s="117">
        <f>IFERROR(__xludf.DUMMYFUNCTION("GOOGLEFINANCE(B19,""closeyest"")"),5895.5)</f>
        <v>5895.5</v>
      </c>
      <c r="H19" s="117">
        <f>IFERROR(__xludf.DUMMYFUNCTION("GOOGLEFINANCE(B19,""LOW52"")"),4752.0)</f>
        <v>4752</v>
      </c>
      <c r="I19" s="117">
        <f>IFERROR(__xludf.DUMMYFUNCTION("GOOGLEFINANCE(B19,""HIGH52"")"),8097.0)</f>
        <v>8097</v>
      </c>
      <c r="J19" s="117">
        <f>IFERROR(__xludf.DUMMYFUNCTION("GOOGLEFINANCE(B19,""VOLUME"")"),10296.0)</f>
        <v>10296</v>
      </c>
      <c r="K19" s="117">
        <f>IFERROR(__xludf.DUMMYFUNCTION("GOOGLEFINANCE(B19,""marketcap"")"),1.6937838775E11)</f>
        <v>169378387750</v>
      </c>
      <c r="L19" s="117">
        <f>IFERROR(__xludf.DUMMYFUNCTION("GOOGLEFINANCE(B19,""shares"")"),2.9661732E7)</f>
        <v>29661732</v>
      </c>
      <c r="M19" s="117">
        <f>IFERROR(__xludf.DUMMYFUNCTION("GOOGLEFINANCE(B19,""EPS"")"),184.18)</f>
        <v>184.18</v>
      </c>
      <c r="N19" s="117">
        <f>IFERROR(__xludf.DUMMYFUNCTION("GOOGLEFINANCE(B19,""PE"")"),31.24)</f>
        <v>31.24</v>
      </c>
      <c r="O19" s="10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</row>
    <row r="20">
      <c r="A20" s="117">
        <v>17.0</v>
      </c>
      <c r="B20" s="6" t="s">
        <v>180</v>
      </c>
      <c r="C20" s="6"/>
      <c r="D20" s="117">
        <v>600.0</v>
      </c>
      <c r="E20" s="6"/>
      <c r="F20" s="117">
        <f>IFERROR(__xludf.DUMMYFUNCTION("GOOGLEFINANCE(B20,""price"")"),881.0)</f>
        <v>881</v>
      </c>
      <c r="G20" s="117">
        <f>IFERROR(__xludf.DUMMYFUNCTION("GOOGLEFINANCE(B20,""closeyest"")"),880.3)</f>
        <v>880.3</v>
      </c>
      <c r="H20" s="117">
        <f>IFERROR(__xludf.DUMMYFUNCTION("GOOGLEFINANCE(B20,""LOW52"")"),478.35)</f>
        <v>478.35</v>
      </c>
      <c r="I20" s="117">
        <f>IFERROR(__xludf.DUMMYFUNCTION("GOOGLEFINANCE(B20,""HIGH52"")"),892.65)</f>
        <v>892.65</v>
      </c>
      <c r="J20" s="117">
        <f>IFERROR(__xludf.DUMMYFUNCTION("GOOGLEFINANCE(B20,""VOLUME"")"),3539271.0)</f>
        <v>3539271</v>
      </c>
      <c r="K20" s="117">
        <f>IFERROR(__xludf.DUMMYFUNCTION("GOOGLEFINANCE(B20,""marketcap"")"),6.558849418E11)</f>
        <v>655884941800</v>
      </c>
      <c r="L20" s="117">
        <f>IFERROR(__xludf.DUMMYFUNCTION("GOOGLEFINANCE(B20,""shares"")"),2.92229152E8)</f>
        <v>292229152</v>
      </c>
      <c r="M20" s="117">
        <f>IFERROR(__xludf.DUMMYFUNCTION("GOOGLEFINANCE(B20,""EPS"")"),29.11)</f>
        <v>29.11</v>
      </c>
      <c r="N20" s="117">
        <f>IFERROR(__xludf.DUMMYFUNCTION("GOOGLEFINANCE(B20,""PE"")"),30.27)</f>
        <v>30.27</v>
      </c>
      <c r="O20" s="10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</row>
    <row r="21">
      <c r="A21" s="117">
        <v>18.0</v>
      </c>
      <c r="B21" s="6" t="s">
        <v>181</v>
      </c>
      <c r="C21" s="6"/>
      <c r="D21" s="117">
        <v>430.0</v>
      </c>
      <c r="E21" s="6"/>
      <c r="F21" s="117">
        <f>IFERROR(__xludf.DUMMYFUNCTION("GOOGLEFINANCE(B21,""price"")"),1135.0)</f>
        <v>1135</v>
      </c>
      <c r="G21" s="117">
        <f>IFERROR(__xludf.DUMMYFUNCTION("GOOGLEFINANCE(B21,""closeyest"")"),1149.1)</f>
        <v>1149.1</v>
      </c>
      <c r="H21" s="117">
        <f>IFERROR(__xludf.DUMMYFUNCTION("GOOGLEFINANCE(B21,""LOW52"")"),1010.0)</f>
        <v>1010</v>
      </c>
      <c r="I21" s="117">
        <f>IFERROR(__xludf.DUMMYFUNCTION("GOOGLEFINANCE(B21,""HIGH52"")"),1412.55)</f>
        <v>1412.55</v>
      </c>
      <c r="J21" s="117">
        <f>IFERROR(__xludf.DUMMYFUNCTION("GOOGLEFINANCE(B21,""VOLUME"")"),1443663.0)</f>
        <v>1443663</v>
      </c>
      <c r="K21" s="117">
        <f>IFERROR(__xludf.DUMMYFUNCTION("GOOGLEFINANCE(B21,""marketcap"")"),6.62378432782E11)</f>
        <v>662378432782</v>
      </c>
      <c r="L21" s="117">
        <f>IFERROR(__xludf.DUMMYFUNCTION("GOOGLEFINANCE(B21,""shares"")"),5.85900032E8)</f>
        <v>585900032</v>
      </c>
      <c r="M21" s="117">
        <f>IFERROR(__xludf.DUMMYFUNCTION("GOOGLEFINANCE(B21,""EPS"")"),58.32)</f>
        <v>58.32</v>
      </c>
      <c r="N21" s="117">
        <f>IFERROR(__xludf.DUMMYFUNCTION("GOOGLEFINANCE(B21,""PE"")"),19.46)</f>
        <v>19.46</v>
      </c>
      <c r="O21" s="10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</row>
    <row r="22">
      <c r="A22" s="117">
        <v>19.0</v>
      </c>
      <c r="B22" s="6" t="s">
        <v>182</v>
      </c>
      <c r="C22" s="6"/>
      <c r="D22" s="117">
        <v>850.0</v>
      </c>
      <c r="E22" s="6"/>
      <c r="F22" s="117">
        <f>IFERROR(__xludf.DUMMYFUNCTION("GOOGLEFINANCE(B22,""price"")"),1227.7)</f>
        <v>1227.7</v>
      </c>
      <c r="G22" s="117">
        <f>IFERROR(__xludf.DUMMYFUNCTION("GOOGLEFINANCE(B22,""closeyest"")"),1226.6)</f>
        <v>1226.6</v>
      </c>
      <c r="H22" s="117">
        <f>IFERROR(__xludf.DUMMYFUNCTION("GOOGLEFINANCE(B22,""LOW52"")"),933.5)</f>
        <v>933.5</v>
      </c>
      <c r="I22" s="117">
        <f>IFERROR(__xludf.DUMMYFUNCTION("GOOGLEFINANCE(B22,""HIGH52"")"),1276.1)</f>
        <v>1276.1</v>
      </c>
      <c r="J22" s="117">
        <f>IFERROR(__xludf.DUMMYFUNCTION("GOOGLEFINANCE(B22,""VOLUME"")"),3733721.0)</f>
        <v>3733721</v>
      </c>
      <c r="K22" s="117">
        <f>IFERROR(__xludf.DUMMYFUNCTION("GOOGLEFINANCE(B22,""marketcap"")"),3.809791122276E12)</f>
        <v>3809791122276</v>
      </c>
      <c r="L22" s="117">
        <f>IFERROR(__xludf.DUMMYFUNCTION("GOOGLEFINANCE(B22,""shares"")"),2.569895168E9)</f>
        <v>2569895168</v>
      </c>
      <c r="M22" s="117">
        <f>IFERROR(__xludf.DUMMYFUNCTION("GOOGLEFINANCE(B22,""EPS"")"),83.47)</f>
        <v>83.47</v>
      </c>
      <c r="N22" s="117">
        <f>IFERROR(__xludf.DUMMYFUNCTION("GOOGLEFINANCE(B22,""PE"")"),14.71)</f>
        <v>14.71</v>
      </c>
      <c r="O22" s="10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</row>
    <row r="23">
      <c r="A23" s="117">
        <v>20.0</v>
      </c>
      <c r="B23" s="6" t="s">
        <v>183</v>
      </c>
      <c r="C23" s="6"/>
      <c r="D23" s="117">
        <v>1072.0</v>
      </c>
      <c r="E23" s="6"/>
      <c r="F23" s="117">
        <f>IFERROR(__xludf.DUMMYFUNCTION("GOOGLEFINANCE(B23,""price"")"),2065.9)</f>
        <v>2065.9</v>
      </c>
      <c r="G23" s="117">
        <f>IFERROR(__xludf.DUMMYFUNCTION("GOOGLEFINANCE(B23,""closeyest"")"),2073.2)</f>
        <v>2073.2</v>
      </c>
      <c r="H23" s="117">
        <f>IFERROR(__xludf.DUMMYFUNCTION("GOOGLEFINANCE(B23,""LOW52"")"),1551.65)</f>
        <v>1551.65</v>
      </c>
      <c r="I23" s="117">
        <f>IFERROR(__xludf.DUMMYFUNCTION("GOOGLEFINANCE(B23,""HIGH52"")"),2195.0)</f>
        <v>2195</v>
      </c>
      <c r="J23" s="117">
        <f>IFERROR(__xludf.DUMMYFUNCTION("GOOGLEFINANCE(B23,""VOLUME"")"),1175380.0)</f>
        <v>1175380</v>
      </c>
      <c r="K23" s="117">
        <f>IFERROR(__xludf.DUMMYFUNCTION("GOOGLEFINANCE(B23,""marketcap"")"),3.298552133475E12)</f>
        <v>3298552133475</v>
      </c>
      <c r="L23" s="117">
        <f>IFERROR(__xludf.DUMMYFUNCTION("GOOGLEFINANCE(B23,""shares"")"),1.5914E8)</f>
        <v>159140000</v>
      </c>
      <c r="M23" s="117">
        <f>IFERROR(__xludf.DUMMYFUNCTION("GOOGLEFINANCE(B23,""EPS"")"),59.15)</f>
        <v>59.15</v>
      </c>
      <c r="N23" s="117">
        <f>IFERROR(__xludf.DUMMYFUNCTION("GOOGLEFINANCE(B23,""PE"")"),34.93)</f>
        <v>34.93</v>
      </c>
      <c r="O23" s="10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</row>
    <row r="24">
      <c r="A24" s="117">
        <v>21.0</v>
      </c>
      <c r="B24" s="123" t="s">
        <v>184</v>
      </c>
      <c r="C24" s="6"/>
      <c r="D24" s="117">
        <v>3460.0</v>
      </c>
      <c r="E24" s="6"/>
      <c r="F24" s="117">
        <f>IFERROR(__xludf.DUMMYFUNCTION("GOOGLEFINANCE(""NSE:BAJAJ-AUTO"",""price"")"),8713.0)</f>
        <v>8713</v>
      </c>
      <c r="G24" s="117">
        <f>IFERROR(__xludf.DUMMYFUNCTION("GOOGLEFINANCE(B24,""closeyest"")"),8751.0)</f>
        <v>8751</v>
      </c>
      <c r="H24" s="117">
        <f>IFERROR(__xludf.DUMMYFUNCTION("GOOGLEFINANCE(B24,""LOW52"")"),7089.35)</f>
        <v>7089.35</v>
      </c>
      <c r="I24" s="117">
        <f>IFERROR(__xludf.DUMMYFUNCTION("GOOGLEFINANCE(B24,""HIGH52"")"),10079.8)</f>
        <v>10079.8</v>
      </c>
      <c r="J24" s="117">
        <f>IFERROR(__xludf.DUMMYFUNCTION("GOOGLEFINANCE(B24,""VOLUME"")"),326774.0)</f>
        <v>326774</v>
      </c>
      <c r="K24" s="117">
        <f>IFERROR(__xludf.DUMMYFUNCTION("GOOGLEFINANCE(B24,""marketcap"")"),2.4328638999E12)</f>
        <v>2432863899900</v>
      </c>
      <c r="L24" s="117">
        <f>IFERROR(__xludf.DUMMYFUNCTION("GOOGLEFINANCE(B24,""shares"")"),2.89367008E8)</f>
        <v>289367008</v>
      </c>
      <c r="M24" s="117">
        <f>IFERROR(__xludf.DUMMYFUNCTION("GOOGLEFINANCE(B24,""EPS"")"),271.57)</f>
        <v>271.57</v>
      </c>
      <c r="N24" s="117">
        <f>IFERROR(__xludf.DUMMYFUNCTION("GOOGLEFINANCE(B24,""PE"")"),32.08)</f>
        <v>32.08</v>
      </c>
      <c r="O24" s="10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</row>
    <row r="25">
      <c r="A25" s="117">
        <v>22.0</v>
      </c>
      <c r="B25" s="6" t="s">
        <v>185</v>
      </c>
      <c r="C25" s="6"/>
      <c r="D25" s="117">
        <v>5200.0</v>
      </c>
      <c r="E25" s="6"/>
      <c r="F25" s="117">
        <f>IFERROR(__xludf.DUMMYFUNCTION("GOOGLEFINANCE(B25,""price"")"),1042.5)</f>
        <v>1042.5</v>
      </c>
      <c r="G25" s="117">
        <f>IFERROR(__xludf.DUMMYFUNCTION("GOOGLEFINANCE(B25,""closeyest"")"),1057.0)</f>
        <v>1057</v>
      </c>
      <c r="H25" s="117">
        <f>IFERROR(__xludf.DUMMYFUNCTION("GOOGLEFINANCE(B25,""LOW52"")"),645.1)</f>
        <v>645.1</v>
      </c>
      <c r="I25" s="117">
        <f>IFERROR(__xludf.DUMMYFUNCTION("GOOGLEFINANCE(B25,""HIGH52"")"),1102.5)</f>
        <v>1102.5</v>
      </c>
      <c r="J25" s="117">
        <f>IFERROR(__xludf.DUMMYFUNCTION("GOOGLEFINANCE(B25,""VOLUME"")"),5776277.0)</f>
        <v>5776277</v>
      </c>
      <c r="K25" s="117">
        <f>IFERROR(__xludf.DUMMYFUNCTION("GOOGLEFINANCE(B25,""marketcap"")"),6.47043363073E11)</f>
        <v>647043363073</v>
      </c>
      <c r="L25" s="117">
        <f>IFERROR(__xludf.DUMMYFUNCTION("GOOGLEFINANCE(B25,""shares"")"),5.76445632E8)</f>
        <v>576445632</v>
      </c>
      <c r="M25" s="117">
        <f>IFERROR(__xludf.DUMMYFUNCTION("GOOGLEFINANCE(B25,""EPS"")"),28.06)</f>
        <v>28.06</v>
      </c>
      <c r="N25" s="117">
        <f>IFERROR(__xludf.DUMMYFUNCTION("GOOGLEFINANCE(B25,""PE"")"),37.15)</f>
        <v>37.15</v>
      </c>
      <c r="O25" s="10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</row>
    <row r="26">
      <c r="A26" s="117">
        <v>23.0</v>
      </c>
      <c r="B26" s="6" t="s">
        <v>186</v>
      </c>
      <c r="C26" s="6"/>
      <c r="D26" s="117">
        <v>1700.0</v>
      </c>
      <c r="E26" s="6"/>
      <c r="F26" s="117">
        <f>IFERROR(__xludf.DUMMYFUNCTION("GOOGLEFINANCE(B26,""price"")"),2339.5)</f>
        <v>2339.5</v>
      </c>
      <c r="G26" s="117">
        <f>IFERROR(__xludf.DUMMYFUNCTION("GOOGLEFINANCE(B26,""closeyest"")"),2364.3)</f>
        <v>2364.3</v>
      </c>
      <c r="H26" s="117">
        <f>IFERROR(__xludf.DUMMYFUNCTION("GOOGLEFINANCE(B26,""LOW52"")"),2152.05)</f>
        <v>2152.05</v>
      </c>
      <c r="I26" s="117">
        <f>IFERROR(__xludf.DUMMYFUNCTION("GOOGLEFINANCE(B26,""HIGH52"")"),2928.0)</f>
        <v>2928</v>
      </c>
      <c r="J26" s="117">
        <f>IFERROR(__xludf.DUMMYFUNCTION("GOOGLEFINANCE(B26,""VOLUME"")"),153013.0)</f>
        <v>153013</v>
      </c>
      <c r="K26" s="117">
        <f>IFERROR(__xludf.DUMMYFUNCTION("GOOGLEFINANCE(B26,""marketcap"")"),4.5226535545E11)</f>
        <v>452265355450</v>
      </c>
      <c r="L26" s="117">
        <f>IFERROR(__xludf.DUMMYFUNCTION("GOOGLEFINANCE(B26,""shares"")"),1.93317184E8)</f>
        <v>193317184</v>
      </c>
      <c r="M26" s="117">
        <f>IFERROR(__xludf.DUMMYFUNCTION("GOOGLEFINANCE(B26,""EPS"")"),71.36)</f>
        <v>71.36</v>
      </c>
      <c r="N26" s="117">
        <f>IFERROR(__xludf.DUMMYFUNCTION("GOOGLEFINANCE(B26,""PE"")"),32.79)</f>
        <v>32.79</v>
      </c>
      <c r="O26" s="10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</row>
    <row r="27">
      <c r="A27" s="117">
        <v>24.0</v>
      </c>
      <c r="B27" s="6" t="s">
        <v>187</v>
      </c>
      <c r="C27" s="6"/>
      <c r="D27" s="117">
        <v>300.0</v>
      </c>
      <c r="E27" s="6"/>
      <c r="F27" s="117">
        <f>IFERROR(__xludf.DUMMYFUNCTION("GOOGLEFINANCE(B27,""price"")"),444.95)</f>
        <v>444.95</v>
      </c>
      <c r="G27" s="117">
        <f>IFERROR(__xludf.DUMMYFUNCTION("GOOGLEFINANCE(B27,""closeyest"")"),449.9)</f>
        <v>449.9</v>
      </c>
      <c r="H27" s="117">
        <f>IFERROR(__xludf.DUMMYFUNCTION("GOOGLEFINANCE(B27,""LOW52"")"),419.05)</f>
        <v>419.05</v>
      </c>
      <c r="I27" s="117">
        <f>IFERROR(__xludf.DUMMYFUNCTION("GOOGLEFINANCE(B27,""HIGH52"")"),627.8)</f>
        <v>627.8</v>
      </c>
      <c r="J27" s="117">
        <f>IFERROR(__xludf.DUMMYFUNCTION("GOOGLEFINANCE(B27,""VOLUME"")"),198840.0)</f>
        <v>198840</v>
      </c>
      <c r="K27" s="117">
        <f>IFERROR(__xludf.DUMMYFUNCTION("GOOGLEFINANCE(B27,""marketcap"")"),9.0201356278E10)</f>
        <v>90201356278</v>
      </c>
      <c r="L27" s="117">
        <f>IFERROR(__xludf.DUMMYFUNCTION("GOOGLEFINANCE(B27,""shares"")"),2.2843832E8)</f>
        <v>228438320</v>
      </c>
      <c r="M27" s="117">
        <f>IFERROR(__xludf.DUMMYFUNCTION("GOOGLEFINANCE(B27,""EPS"")"),20.62)</f>
        <v>20.62</v>
      </c>
      <c r="N27" s="117">
        <f>IFERROR(__xludf.DUMMYFUNCTION("GOOGLEFINANCE(B27,""PE"")"),21.58)</f>
        <v>21.58</v>
      </c>
      <c r="O27" s="10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</row>
    <row r="28">
      <c r="A28" s="117">
        <v>25.0</v>
      </c>
      <c r="B28" s="6" t="s">
        <v>72</v>
      </c>
      <c r="C28" s="6"/>
      <c r="D28" s="117">
        <v>130.0</v>
      </c>
      <c r="E28" s="6"/>
      <c r="F28" s="117">
        <f>IFERROR(__xludf.DUMMYFUNCTION("GOOGLEFINANCE(B28,""price"")"),286.0)</f>
        <v>286</v>
      </c>
      <c r="G28" s="117">
        <f>IFERROR(__xludf.DUMMYFUNCTION("GOOGLEFINANCE(B28,""closeyest"")"),288.1)</f>
        <v>288.1</v>
      </c>
      <c r="H28" s="117">
        <f>IFERROR(__xludf.DUMMYFUNCTION("GOOGLEFINANCE(B28,""LOW52"")"),190.7)</f>
        <v>190.7</v>
      </c>
      <c r="I28" s="117">
        <f>IFERROR(__xludf.DUMMYFUNCTION("GOOGLEFINANCE(B28,""HIGH52"")"),293.25)</f>
        <v>293.25</v>
      </c>
      <c r="J28" s="117">
        <f>IFERROR(__xludf.DUMMYFUNCTION("GOOGLEFINANCE(B28,""VOLUME"")"),7681719.0)</f>
        <v>7681719</v>
      </c>
      <c r="K28" s="117">
        <f>IFERROR(__xludf.DUMMYFUNCTION("GOOGLEFINANCE(B28,""marketcap"")"),1.479720014408E12)</f>
        <v>1479720014408</v>
      </c>
      <c r="L28" s="117">
        <f>IFERROR(__xludf.DUMMYFUNCTION("GOOGLEFINANCE(B28,""shares"")"),2.645516032E9)</f>
        <v>2645516032</v>
      </c>
      <c r="M28" s="117">
        <f>IFERROR(__xludf.DUMMYFUNCTION("GOOGLEFINANCE(B28,""EPS"")"),37.2)</f>
        <v>37.2</v>
      </c>
      <c r="N28" s="117">
        <f>IFERROR(__xludf.DUMMYFUNCTION("GOOGLEFINANCE(B28,""PE"")"),7.69)</f>
        <v>7.69</v>
      </c>
      <c r="O28" s="10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</row>
    <row r="29">
      <c r="A29" s="117">
        <v>26.0</v>
      </c>
      <c r="B29" s="6" t="s">
        <v>19</v>
      </c>
      <c r="C29" s="6"/>
      <c r="D29" s="117">
        <v>1550.0</v>
      </c>
      <c r="E29" s="6"/>
      <c r="F29" s="117">
        <f>IFERROR(__xludf.DUMMYFUNCTION("GOOGLEFINANCE(B29,""price"")"),1049.2)</f>
        <v>1049.2</v>
      </c>
      <c r="G29" s="117">
        <f>IFERROR(__xludf.DUMMYFUNCTION("GOOGLEFINANCE(B29,""closeyest"")"),1066.1)</f>
        <v>1066.1</v>
      </c>
      <c r="H29" s="117">
        <f>IFERROR(__xludf.DUMMYFUNCTION("GOOGLEFINANCE(B29,""LOW52"")"),1025.1)</f>
        <v>1025.1</v>
      </c>
      <c r="I29" s="117">
        <f>IFERROR(__xludf.DUMMYFUNCTION("GOOGLEFINANCE(B29,""HIGH52"")"),1479.0)</f>
        <v>1479</v>
      </c>
      <c r="J29" s="117">
        <f>IFERROR(__xludf.DUMMYFUNCTION("GOOGLEFINANCE(B29,""VOLUME"")"),108215.0)</f>
        <v>108215</v>
      </c>
      <c r="K29" s="117">
        <f>IFERROR(__xludf.DUMMYFUNCTION("GOOGLEFINANCE(B29,""marketcap"")"),1.35221499175E11)</f>
        <v>135221499175</v>
      </c>
      <c r="L29" s="117">
        <f>IFERROR(__xludf.DUMMYFUNCTION("GOOGLEFINANCE(B29,""shares"")"),1.28527536E8)</f>
        <v>128527536</v>
      </c>
      <c r="M29" s="117">
        <f>IFERROR(__xludf.DUMMYFUNCTION("GOOGLEFINANCE(B29,""EPS"")"),13.27)</f>
        <v>13.27</v>
      </c>
      <c r="N29" s="117">
        <f>IFERROR(__xludf.DUMMYFUNCTION("GOOGLEFINANCE(B29,""PE"")"),79.04)</f>
        <v>79.04</v>
      </c>
      <c r="O29" s="10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</row>
    <row r="30">
      <c r="A30" s="117">
        <v>27.0</v>
      </c>
      <c r="B30" s="6" t="s">
        <v>67</v>
      </c>
      <c r="C30" s="6"/>
      <c r="D30" s="117">
        <v>95.0</v>
      </c>
      <c r="E30" s="6"/>
      <c r="F30" s="117">
        <f>IFERROR(__xludf.DUMMYFUNCTION("GOOGLEFINANCE(B30,""price"")"),0.03)</f>
        <v>0.03</v>
      </c>
      <c r="G30" s="117">
        <f>IFERROR(__xludf.DUMMYFUNCTION("GOOGLEFINANCE(B30,""closeyest"")"),0.03)</f>
        <v>0.03</v>
      </c>
      <c r="H30" s="117">
        <f>IFERROR(__xludf.DUMMYFUNCTION("GOOGLEFINANCE(B30,""LOW52"")"),0.01)</f>
        <v>0.01</v>
      </c>
      <c r="I30" s="117">
        <f>IFERROR(__xludf.DUMMYFUNCTION("GOOGLEFINANCE(B30,""HIGH52"")"),0.04)</f>
        <v>0.04</v>
      </c>
      <c r="J30" s="117">
        <f>IFERROR(__xludf.DUMMYFUNCTION("GOOGLEFINANCE(B30,""VOLUME"")"),193052.0)</f>
        <v>193052</v>
      </c>
      <c r="K30" s="117">
        <f>IFERROR(__xludf.DUMMYFUNCTION("GOOGLEFINANCE(B30,""marketcap"")"),1715419.0)</f>
        <v>1715419</v>
      </c>
      <c r="L30" s="117">
        <f>IFERROR(__xludf.DUMMYFUNCTION("GOOGLEFINANCE(B30,""shares"")"),7.6127918E7)</f>
        <v>76127918</v>
      </c>
      <c r="M30" s="117">
        <f>IFERROR(__xludf.DUMMYFUNCTION("GOOGLEFINANCE(B30,""EPS"")"),-0.01)</f>
        <v>-0.01</v>
      </c>
      <c r="N30" s="17" t="str">
        <f>IFERROR(__xludf.DUMMYFUNCTION("GOOGLEFINANCE(B30,""PE"")"),"#N/A")</f>
        <v>#N/A</v>
      </c>
      <c r="O30" s="10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</row>
    <row r="31">
      <c r="A31" s="117">
        <v>28.0</v>
      </c>
      <c r="B31" s="6" t="s">
        <v>188</v>
      </c>
      <c r="C31" s="6"/>
      <c r="D31" s="117">
        <v>390.0</v>
      </c>
      <c r="E31" s="6"/>
      <c r="F31" s="117">
        <f>IFERROR(__xludf.DUMMYFUNCTION("GOOGLEFINANCE(B31,""price"")"),544.8)</f>
        <v>544.8</v>
      </c>
      <c r="G31" s="117">
        <f>IFERROR(__xludf.DUMMYFUNCTION("GOOGLEFINANCE(B31,""closeyest"")"),537.45)</f>
        <v>537.45</v>
      </c>
      <c r="H31" s="117">
        <f>IFERROR(__xludf.DUMMYFUNCTION("GOOGLEFINANCE(B31,""LOW52"")"),437.75)</f>
        <v>437.75</v>
      </c>
      <c r="I31" s="117">
        <f>IFERROR(__xludf.DUMMYFUNCTION("GOOGLEFINANCE(B31,""HIGH52"")"),605.0)</f>
        <v>605</v>
      </c>
      <c r="J31" s="117">
        <f>IFERROR(__xludf.DUMMYFUNCTION("GOOGLEFINANCE(B31,""VOLUME"")"),1118825.0)</f>
        <v>1118825</v>
      </c>
      <c r="K31" s="117">
        <f>IFERROR(__xludf.DUMMYFUNCTION("GOOGLEFINANCE(B31,""marketcap"")"),6.35179036967E11)</f>
        <v>635179036967</v>
      </c>
      <c r="L31" s="117">
        <f>IFERROR(__xludf.DUMMYFUNCTION("GOOGLEFINANCE(B31,""shares"")"),9.71E8)</f>
        <v>971000000</v>
      </c>
      <c r="M31" s="117">
        <f>IFERROR(__xludf.DUMMYFUNCTION("GOOGLEFINANCE(B31,""EPS"")"),9.24)</f>
        <v>9.24</v>
      </c>
      <c r="N31" s="117">
        <f>IFERROR(__xludf.DUMMYFUNCTION("GOOGLEFINANCE(B31,""PE"")"),58.95)</f>
        <v>58.95</v>
      </c>
      <c r="O31" s="10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</row>
    <row r="32">
      <c r="A32" s="117">
        <v>29.0</v>
      </c>
      <c r="B32" s="6" t="s">
        <v>189</v>
      </c>
      <c r="C32" s="6"/>
      <c r="D32" s="117">
        <v>600.0</v>
      </c>
      <c r="E32" s="6"/>
      <c r="F32" s="117">
        <f>IFERROR(__xludf.DUMMYFUNCTION("GOOGLEFINANCE(B32,""price"")"),1316.0)</f>
        <v>1316</v>
      </c>
      <c r="G32" s="117">
        <f>IFERROR(__xludf.DUMMYFUNCTION("GOOGLEFINANCE(B32,""closeyest"")"),1324.9)</f>
        <v>1324.9</v>
      </c>
      <c r="H32" s="117">
        <f>IFERROR(__xludf.DUMMYFUNCTION("GOOGLEFINANCE(B32,""LOW52"")"),919.1)</f>
        <v>919.1</v>
      </c>
      <c r="I32" s="117">
        <f>IFERROR(__xludf.DUMMYFUNCTION("GOOGLEFINANCE(B32,""HIGH52"")"),1482.9)</f>
        <v>1482.9</v>
      </c>
      <c r="J32" s="117">
        <f>IFERROR(__xludf.DUMMYFUNCTION("GOOGLEFINANCE(B32,""VOLUME"")"),1108499.0)</f>
        <v>1108499</v>
      </c>
      <c r="K32" s="117">
        <f>IFERROR(__xludf.DUMMYFUNCTION("GOOGLEFINANCE(B32,""marketcap"")"),6.30743368761E11)</f>
        <v>630743368761</v>
      </c>
      <c r="L32" s="117">
        <f>IFERROR(__xludf.DUMMYFUNCTION("GOOGLEFINANCE(B32,""shares"")"),4.6558864E8)</f>
        <v>465588640</v>
      </c>
      <c r="M32" s="117">
        <f>IFERROR(__xludf.DUMMYFUNCTION("GOOGLEFINANCE(B32,""EPS"")"),21.6)</f>
        <v>21.6</v>
      </c>
      <c r="N32" s="117">
        <f>IFERROR(__xludf.DUMMYFUNCTION("GOOGLEFINANCE(B32,""PE"")"),60.94)</f>
        <v>60.94</v>
      </c>
      <c r="O32" s="10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</row>
    <row r="33">
      <c r="A33" s="117">
        <v>30.0</v>
      </c>
      <c r="B33" s="6" t="s">
        <v>190</v>
      </c>
      <c r="C33" s="6"/>
      <c r="D33" s="117">
        <v>630.0</v>
      </c>
      <c r="E33" s="6"/>
      <c r="F33" s="117">
        <f>IFERROR(__xludf.DUMMYFUNCTION("GOOGLEFINANCE(B33,""price"")"),2095.0)</f>
        <v>2095</v>
      </c>
      <c r="G33" s="117">
        <f>IFERROR(__xludf.DUMMYFUNCTION("GOOGLEFINANCE(B33,""closeyest"")"),2113.3)</f>
        <v>2113.3</v>
      </c>
      <c r="H33" s="117">
        <f>IFERROR(__xludf.DUMMYFUNCTION("GOOGLEFINANCE(B33,""LOW52"")"),1511.0)</f>
        <v>1511</v>
      </c>
      <c r="I33" s="117">
        <f>IFERROR(__xludf.DUMMYFUNCTION("GOOGLEFINANCE(B33,""HIGH52"")"),2135.6)</f>
        <v>2135.6</v>
      </c>
      <c r="J33" s="117">
        <f>IFERROR(__xludf.DUMMYFUNCTION("GOOGLEFINANCE(B33,""VOLUME"")"),9546299.0)</f>
        <v>9546299</v>
      </c>
      <c r="K33" s="117">
        <f>IFERROR(__xludf.DUMMYFUNCTION("GOOGLEFINANCE(B33,""marketcap"")"),1.2551118177769E13)</f>
        <v>12551118177769</v>
      </c>
      <c r="L33" s="117">
        <f>IFERROR(__xludf.DUMMYFUNCTION("GOOGLEFINANCE(B33,""shares"")"),3.995603712E9)</f>
        <v>3995603712</v>
      </c>
      <c r="M33" s="117">
        <f>IFERROR(__xludf.DUMMYFUNCTION("GOOGLEFINANCE(B33,""EPS"")"),64.17)</f>
        <v>64.17</v>
      </c>
      <c r="N33" s="117">
        <f>IFERROR(__xludf.DUMMYFUNCTION("GOOGLEFINANCE(B33,""PE"")"),32.65)</f>
        <v>32.65</v>
      </c>
      <c r="O33" s="10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</row>
    <row r="34">
      <c r="A34" s="117">
        <v>31.0</v>
      </c>
      <c r="B34" s="6" t="s">
        <v>114</v>
      </c>
      <c r="C34" s="6"/>
      <c r="D34" s="117">
        <v>41.0</v>
      </c>
      <c r="E34" s="6"/>
      <c r="F34" s="117">
        <f>IFERROR(__xludf.DUMMYFUNCTION("GOOGLEFINANCE(B34,""price"")"),260.0)</f>
        <v>260</v>
      </c>
      <c r="G34" s="117">
        <f>IFERROR(__xludf.DUMMYFUNCTION("GOOGLEFINANCE(B34,""closeyest"")"),267.25)</f>
        <v>267.25</v>
      </c>
      <c r="H34" s="117">
        <f>IFERROR(__xludf.DUMMYFUNCTION("GOOGLEFINANCE(B34,""LOW52"")"),176.0)</f>
        <v>176</v>
      </c>
      <c r="I34" s="117">
        <f>IFERROR(__xludf.DUMMYFUNCTION("GOOGLEFINANCE(B34,""HIGH52"")"),272.1)</f>
        <v>272.1</v>
      </c>
      <c r="J34" s="117">
        <f>IFERROR(__xludf.DUMMYFUNCTION("GOOGLEFINANCE(B34,""VOLUME"")"),5823324.0)</f>
        <v>5823324</v>
      </c>
      <c r="K34" s="117">
        <f>IFERROR(__xludf.DUMMYFUNCTION("GOOGLEFINANCE(B34,""marketcap"")"),9.04671793682E11)</f>
        <v>904671793682</v>
      </c>
      <c r="L34" s="117">
        <f>IFERROR(__xludf.DUMMYFUNCTION("GOOGLEFINANCE(B34,""shares"")"),3.671399936E9)</f>
        <v>3671399936</v>
      </c>
      <c r="M34" s="117">
        <f>IFERROR(__xludf.DUMMYFUNCTION("GOOGLEFINANCE(B34,""EPS"")"),1.91)</f>
        <v>1.91</v>
      </c>
      <c r="N34" s="117">
        <f>IFERROR(__xludf.DUMMYFUNCTION("GOOGLEFINANCE(B34,""PE"")"),136.22)</f>
        <v>136.22</v>
      </c>
      <c r="O34" s="10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</row>
    <row r="35">
      <c r="A35" s="117">
        <v>32.0</v>
      </c>
      <c r="B35" s="6" t="s">
        <v>191</v>
      </c>
      <c r="C35" s="6"/>
      <c r="D35" s="117">
        <v>210.0</v>
      </c>
      <c r="E35" s="6"/>
      <c r="F35" s="117">
        <f>IFERROR(__xludf.DUMMYFUNCTION("GOOGLEFINANCE(B35,""price"")"),385.0)</f>
        <v>385</v>
      </c>
      <c r="G35" s="117">
        <f>IFERROR(__xludf.DUMMYFUNCTION("GOOGLEFINANCE(B35,""closeyest"")"),380.5)</f>
        <v>380.5</v>
      </c>
      <c r="H35" s="117">
        <f>IFERROR(__xludf.DUMMYFUNCTION("GOOGLEFINANCE(B35,""LOW52"")"),291.0)</f>
        <v>291</v>
      </c>
      <c r="I35" s="117">
        <f>IFERROR(__xludf.DUMMYFUNCTION("GOOGLEFINANCE(B35,""HIGH52"")"),406.0)</f>
        <v>406</v>
      </c>
      <c r="J35" s="117">
        <f>IFERROR(__xludf.DUMMYFUNCTION("GOOGLEFINANCE(B35,""VOLUME"")"),4037698.0)</f>
        <v>4037698</v>
      </c>
      <c r="K35" s="117">
        <f>IFERROR(__xludf.DUMMYFUNCTION("GOOGLEFINANCE(B35,""marketcap"")"),4.6132625E11)</f>
        <v>461326250000</v>
      </c>
      <c r="L35" s="117">
        <f>IFERROR(__xludf.DUMMYFUNCTION("GOOGLEFINANCE(B35,""shares"")"),6.0E8)</f>
        <v>600000000</v>
      </c>
      <c r="M35" s="117">
        <f>IFERROR(__xludf.DUMMYFUNCTION("GOOGLEFINANCE(B35,""EPS"")"),3.21)</f>
        <v>3.21</v>
      </c>
      <c r="N35" s="117">
        <f>IFERROR(__xludf.DUMMYFUNCTION("GOOGLEFINANCE(B35,""PE"")"),119.94)</f>
        <v>119.94</v>
      </c>
      <c r="O35" s="10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</row>
    <row r="36">
      <c r="A36" s="117">
        <v>33.0</v>
      </c>
      <c r="B36" s="6" t="s">
        <v>192</v>
      </c>
      <c r="C36" s="6"/>
      <c r="D36" s="117">
        <v>13000.0</v>
      </c>
      <c r="E36" s="6"/>
      <c r="F36" s="117">
        <f>IFERROR(__xludf.DUMMYFUNCTION("GOOGLEFINANCE(B36,""price"")"),37100.0)</f>
        <v>37100</v>
      </c>
      <c r="G36" s="117">
        <f>IFERROR(__xludf.DUMMYFUNCTION("GOOGLEFINANCE(B36,""closeyest"")"),37850.0)</f>
        <v>37850</v>
      </c>
      <c r="H36" s="117">
        <f>IFERROR(__xludf.DUMMYFUNCTION("GOOGLEFINANCE(B36,""LOW52"")"),25921.6)</f>
        <v>25921.6</v>
      </c>
      <c r="I36" s="117">
        <f>IFERROR(__xludf.DUMMYFUNCTION("GOOGLEFINANCE(B36,""HIGH52"")"),41945.0)</f>
        <v>41945</v>
      </c>
      <c r="J36" s="117">
        <f>IFERROR(__xludf.DUMMYFUNCTION("GOOGLEFINANCE(B36,""VOLUME"")"),28881.0)</f>
        <v>28881</v>
      </c>
      <c r="K36" s="117">
        <f>IFERROR(__xludf.DUMMYFUNCTION("GOOGLEFINANCE(B36,""marketcap"")"),1.093500947391E12)</f>
        <v>1093500947391</v>
      </c>
      <c r="L36" s="117">
        <f>IFERROR(__xludf.DUMMYFUNCTION("GOOGLEFINANCE(B36,""shares"")"),3.052074E7)</f>
        <v>30520740</v>
      </c>
      <c r="M36" s="117">
        <f>IFERROR(__xludf.DUMMYFUNCTION("GOOGLEFINANCE(B36,""EPS"")"),903.6)</f>
        <v>903.6</v>
      </c>
      <c r="N36" s="117">
        <f>IFERROR(__xludf.DUMMYFUNCTION("GOOGLEFINANCE(B36,""PE"")"),41.06)</f>
        <v>41.06</v>
      </c>
      <c r="O36" s="10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</row>
    <row r="37">
      <c r="A37" s="117">
        <v>34.0</v>
      </c>
      <c r="B37" s="6" t="s">
        <v>193</v>
      </c>
      <c r="C37" s="6"/>
      <c r="D37" s="117">
        <v>288.0</v>
      </c>
      <c r="E37" s="6"/>
      <c r="F37" s="117">
        <f>IFERROR(__xludf.DUMMYFUNCTION("GOOGLEFINANCE(B37,""price"")"),368.5)</f>
        <v>368.5</v>
      </c>
      <c r="G37" s="117">
        <f>IFERROR(__xludf.DUMMYFUNCTION("GOOGLEFINANCE(B37,""closeyest"")"),372.95)</f>
        <v>372.95</v>
      </c>
      <c r="H37" s="117">
        <f>IFERROR(__xludf.DUMMYFUNCTION("GOOGLEFINANCE(B37,""LOW52"")"),234.01)</f>
        <v>234.01</v>
      </c>
      <c r="I37" s="117">
        <f>IFERROR(__xludf.DUMMYFUNCTION("GOOGLEFINANCE(B37,""HIGH52"")"),380.0)</f>
        <v>380</v>
      </c>
      <c r="J37" s="117">
        <f>IFERROR(__xludf.DUMMYFUNCTION("GOOGLEFINANCE(B37,""VOLUME"")"),1.1803637E7)</f>
        <v>11803637</v>
      </c>
      <c r="K37" s="117">
        <f>IFERROR(__xludf.DUMMYFUNCTION("GOOGLEFINANCE(B37,""marketcap"")"),7.95792719701E11)</f>
        <v>795792719701</v>
      </c>
      <c r="L37" s="117">
        <f>IFERROR(__xludf.DUMMYFUNCTION("GOOGLEFINANCE(B37,""shares"")"),2.169252864E9)</f>
        <v>2169252864</v>
      </c>
      <c r="M37" s="117">
        <f>IFERROR(__xludf.DUMMYFUNCTION("GOOGLEFINANCE(B37,""EPS"")"),49.68)</f>
        <v>49.68</v>
      </c>
      <c r="N37" s="117">
        <f>IFERROR(__xludf.DUMMYFUNCTION("GOOGLEFINANCE(B37,""PE"")"),7.42)</f>
        <v>7.42</v>
      </c>
      <c r="O37" s="10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</row>
    <row r="38">
      <c r="A38" s="117">
        <v>35.0</v>
      </c>
      <c r="B38" s="6" t="s">
        <v>92</v>
      </c>
      <c r="C38" s="6"/>
      <c r="D38" s="117">
        <v>3050.0</v>
      </c>
      <c r="E38" s="6"/>
      <c r="F38" s="117">
        <f>IFERROR(__xludf.DUMMYFUNCTION("GOOGLEFINANCE(B38,""price"")"),6016.0)</f>
        <v>6016</v>
      </c>
      <c r="G38" s="117">
        <f>IFERROR(__xludf.DUMMYFUNCTION("GOOGLEFINANCE(B38,""closeyest"")"),5892.5)</f>
        <v>5892.5</v>
      </c>
      <c r="H38" s="117">
        <f>IFERROR(__xludf.DUMMYFUNCTION("GOOGLEFINANCE(B38,""LOW52"")"),4506.0)</f>
        <v>4506</v>
      </c>
      <c r="I38" s="117">
        <f>IFERROR(__xludf.DUMMYFUNCTION("GOOGLEFINANCE(B38,""HIGH52"")"),6336.0)</f>
        <v>6336</v>
      </c>
      <c r="J38" s="117">
        <f>IFERROR(__xludf.DUMMYFUNCTION("GOOGLEFINANCE(B38,""VOLUME"")"),1038063.0)</f>
        <v>1038063</v>
      </c>
      <c r="K38" s="117">
        <f>IFERROR(__xludf.DUMMYFUNCTION("GOOGLEFINANCE(B38,""marketcap"")"),1.447458660095E12)</f>
        <v>1447458660095</v>
      </c>
      <c r="L38" s="117">
        <f>IFERROR(__xludf.DUMMYFUNCTION("GOOGLEFINANCE(B38,""shares"")"),2.40318288E8)</f>
        <v>240318288</v>
      </c>
      <c r="M38" s="117">
        <f>IFERROR(__xludf.DUMMYFUNCTION("GOOGLEFINANCE(B38,""EPS"")"),91.07)</f>
        <v>91.07</v>
      </c>
      <c r="N38" s="117">
        <f>IFERROR(__xludf.DUMMYFUNCTION("GOOGLEFINANCE(B38,""PE"")"),66.06)</f>
        <v>66.06</v>
      </c>
      <c r="O38" s="10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</row>
    <row r="39">
      <c r="A39" s="117">
        <v>36.0</v>
      </c>
      <c r="B39" s="6" t="s">
        <v>194</v>
      </c>
      <c r="C39" s="6"/>
      <c r="D39" s="117">
        <v>260.0</v>
      </c>
      <c r="E39" s="6"/>
      <c r="F39" s="117">
        <f>IFERROR(__xludf.DUMMYFUNCTION("GOOGLEFINANCE(B39,""price"")"),373.95)</f>
        <v>373.95</v>
      </c>
      <c r="G39" s="117">
        <f>IFERROR(__xludf.DUMMYFUNCTION("GOOGLEFINANCE(B39,""closeyest"")"),370.4)</f>
        <v>370.4</v>
      </c>
      <c r="H39" s="117">
        <f>IFERROR(__xludf.DUMMYFUNCTION("GOOGLEFINANCE(B39,""LOW52"")"),331.0)</f>
        <v>331</v>
      </c>
      <c r="I39" s="117">
        <f>IFERROR(__xludf.DUMMYFUNCTION("GOOGLEFINANCE(B39,""HIGH52"")"),624.35)</f>
        <v>624.35</v>
      </c>
      <c r="J39" s="117">
        <f>IFERROR(__xludf.DUMMYFUNCTION("GOOGLEFINANCE(B39,""VOLUME"")"),887372.0)</f>
        <v>887372</v>
      </c>
      <c r="K39" s="117">
        <f>IFERROR(__xludf.DUMMYFUNCTION("GOOGLEFINANCE(B39,""marketcap"")"),1.02883829183E11)</f>
        <v>102883829183</v>
      </c>
      <c r="L39" s="117">
        <f>IFERROR(__xludf.DUMMYFUNCTION("GOOGLEFINANCE(B39,""shares"")"),1.90644992E8)</f>
        <v>190644992</v>
      </c>
      <c r="M39" s="117">
        <f>IFERROR(__xludf.DUMMYFUNCTION("GOOGLEFINANCE(B39,""EPS"")"),15.01)</f>
        <v>15.01</v>
      </c>
      <c r="N39" s="117">
        <f>IFERROR(__xludf.DUMMYFUNCTION("GOOGLEFINANCE(B39,""PE"")"),7.19)</f>
        <v>7.19</v>
      </c>
      <c r="O39" s="10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</row>
    <row r="40">
      <c r="A40" s="117">
        <v>37.0</v>
      </c>
      <c r="B40" s="6" t="s">
        <v>195</v>
      </c>
      <c r="C40" s="6" t="s">
        <v>196</v>
      </c>
      <c r="D40" s="117">
        <v>288.0</v>
      </c>
      <c r="E40" s="6"/>
      <c r="F40" s="117">
        <f>IFERROR(__xludf.DUMMYFUNCTION("GOOGLEFINANCE(B40,""price"")"),139.1)</f>
        <v>139.1</v>
      </c>
      <c r="G40" s="117">
        <f>IFERROR(__xludf.DUMMYFUNCTION("GOOGLEFINANCE(B40,""closeyest"")"),139.6)</f>
        <v>139.6</v>
      </c>
      <c r="H40" s="117">
        <f>IFERROR(__xludf.DUMMYFUNCTION("GOOGLEFINANCE(B40,""LOW52"")"),78.6)</f>
        <v>78.6</v>
      </c>
      <c r="I40" s="117">
        <f>IFERROR(__xludf.DUMMYFUNCTION("GOOGLEFINANCE(B40,""HIGH52"")"),141.45)</f>
        <v>141.45</v>
      </c>
      <c r="J40" s="117">
        <f>IFERROR(__xludf.DUMMYFUNCTION("GOOGLEFINANCE(B40,""VOLUME"")"),2.2293737E7)</f>
        <v>22293737</v>
      </c>
      <c r="K40" s="117">
        <f>IFERROR(__xludf.DUMMYFUNCTION("GOOGLEFINANCE(B40,""marketcap"")"),1.26242810675E12)</f>
        <v>1262428106750</v>
      </c>
      <c r="L40" s="117">
        <f>IFERROR(__xludf.DUMMYFUNCTION("GOOGLEFINANCE(B40,""shares"")"),7.332448E8)</f>
        <v>733244800</v>
      </c>
      <c r="M40" s="117">
        <f>IFERROR(__xludf.DUMMYFUNCTION("GOOGLEFINANCE(B40,""EPS"")"),19.11)</f>
        <v>19.11</v>
      </c>
      <c r="N40" s="117">
        <f>IFERROR(__xludf.DUMMYFUNCTION("GOOGLEFINANCE(B40,""PE"")"),7.28)</f>
        <v>7.28</v>
      </c>
      <c r="O40" s="10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</row>
    <row r="41">
      <c r="A41" s="117">
        <v>38.0</v>
      </c>
      <c r="B41" s="6" t="s">
        <v>197</v>
      </c>
      <c r="C41" s="6"/>
      <c r="D41" s="117">
        <v>406.0</v>
      </c>
      <c r="E41" s="6"/>
      <c r="F41" s="117">
        <f>IFERROR(__xludf.DUMMYFUNCTION("GOOGLEFINANCE(B41,""price"")"),873.45)</f>
        <v>873.45</v>
      </c>
      <c r="G41" s="117">
        <f>IFERROR(__xludf.DUMMYFUNCTION("GOOGLEFINANCE(B41,""closeyest"")"),861.6)</f>
        <v>861.6</v>
      </c>
      <c r="H41" s="117">
        <f>IFERROR(__xludf.DUMMYFUNCTION("GOOGLEFINANCE(B41,""LOW52"")"),558.5)</f>
        <v>558.5</v>
      </c>
      <c r="I41" s="117">
        <f>IFERROR(__xludf.DUMMYFUNCTION("GOOGLEFINANCE(B41,""HIGH52"")"),891.9)</f>
        <v>891.9</v>
      </c>
      <c r="J41" s="117">
        <f>IFERROR(__xludf.DUMMYFUNCTION("GOOGLEFINANCE(B41,""VOLUME"")"),422957.0)</f>
        <v>422957</v>
      </c>
      <c r="K41" s="117">
        <f>IFERROR(__xludf.DUMMYFUNCTION("GOOGLEFINANCE(B41,""marketcap"")"),1.1630345027E11)</f>
        <v>116303450270</v>
      </c>
      <c r="L41" s="117">
        <f>IFERROR(__xludf.DUMMYFUNCTION("GOOGLEFINANCE(B41,""shares"")"),1.33165504E8)</f>
        <v>133165504</v>
      </c>
      <c r="M41" s="117">
        <f>IFERROR(__xludf.DUMMYFUNCTION("GOOGLEFINANCE(B41,""EPS"")"),69.18)</f>
        <v>69.18</v>
      </c>
      <c r="N41" s="117">
        <f>IFERROR(__xludf.DUMMYFUNCTION("GOOGLEFINANCE(B41,""PE"")"),12.63)</f>
        <v>12.63</v>
      </c>
      <c r="O41" s="10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</row>
    <row r="42">
      <c r="A42" s="117">
        <v>39.0</v>
      </c>
      <c r="B42" s="6" t="s">
        <v>198</v>
      </c>
      <c r="C42" s="6"/>
      <c r="D42" s="117">
        <v>260.0</v>
      </c>
      <c r="E42" s="6"/>
      <c r="F42" s="117">
        <f>IFERROR(__xludf.DUMMYFUNCTION("GOOGLEFINANCE(B42,""price"")"),485.0)</f>
        <v>485</v>
      </c>
      <c r="G42" s="117">
        <f>IFERROR(__xludf.DUMMYFUNCTION("GOOGLEFINANCE(B42,""closeyest"")"),481.5)</f>
        <v>481.5</v>
      </c>
      <c r="H42" s="117">
        <f>IFERROR(__xludf.DUMMYFUNCTION("GOOGLEFINANCE(B42,""LOW52"")"),452.35)</f>
        <v>452.35</v>
      </c>
      <c r="I42" s="117">
        <f>IFERROR(__xludf.DUMMYFUNCTION("GOOGLEFINANCE(B42,""HIGH52"")"),742.2)</f>
        <v>742.2</v>
      </c>
      <c r="J42" s="117">
        <f>IFERROR(__xludf.DUMMYFUNCTION("GOOGLEFINANCE(B42,""VOLUME"")"),1618409.0)</f>
        <v>1618409</v>
      </c>
      <c r="K42" s="117">
        <f>IFERROR(__xludf.DUMMYFUNCTION("GOOGLEFINANCE(B42,""marketcap"")"),1.94755077586E11)</f>
        <v>194755077586</v>
      </c>
      <c r="L42" s="117">
        <f>IFERROR(__xludf.DUMMYFUNCTION("GOOGLEFINANCE(B42,""shares"")"),4.16207904E8)</f>
        <v>416207904</v>
      </c>
      <c r="M42" s="117">
        <f>IFERROR(__xludf.DUMMYFUNCTION("GOOGLEFINANCE(B42,""EPS"")"),43.68)</f>
        <v>43.68</v>
      </c>
      <c r="N42" s="117">
        <f>IFERROR(__xludf.DUMMYFUNCTION("GOOGLEFINANCE(B42,""PE"")"),11.1)</f>
        <v>11.1</v>
      </c>
      <c r="O42" s="10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</row>
    <row r="43">
      <c r="A43" s="117">
        <v>40.0</v>
      </c>
      <c r="B43" s="6" t="s">
        <v>21</v>
      </c>
      <c r="C43" s="6"/>
      <c r="D43" s="117">
        <v>600.0</v>
      </c>
      <c r="E43" s="6"/>
      <c r="F43" s="117">
        <f>IFERROR(__xludf.DUMMYFUNCTION("GOOGLEFINANCE(B43,""price"")"),1675.0)</f>
        <v>1675</v>
      </c>
      <c r="G43" s="117">
        <f>IFERROR(__xludf.DUMMYFUNCTION("GOOGLEFINANCE(B43,""closeyest"")"),1745.9)</f>
        <v>1745.9</v>
      </c>
      <c r="H43" s="117">
        <f>IFERROR(__xludf.DUMMYFUNCTION("GOOGLEFINANCE(B43,""LOW52"")"),1168.0)</f>
        <v>1168</v>
      </c>
      <c r="I43" s="117">
        <f>IFERROR(__xludf.DUMMYFUNCTION("GOOGLEFINANCE(B43,""HIGH52"")"),1782.0)</f>
        <v>1782</v>
      </c>
      <c r="J43" s="117">
        <f>IFERROR(__xludf.DUMMYFUNCTION("GOOGLEFINANCE(B43,""VOLUME"")"),2300974.0)</f>
        <v>2300974</v>
      </c>
      <c r="K43" s="117">
        <f>IFERROR(__xludf.DUMMYFUNCTION("GOOGLEFINANCE(B43,""marketcap"")"),1.410251572964E12)</f>
        <v>1410251572964</v>
      </c>
      <c r="L43" s="117">
        <f>IFERROR(__xludf.DUMMYFUNCTION("GOOGLEFINANCE(B43,""shares"")"),1.56352928E8)</f>
        <v>156352928</v>
      </c>
      <c r="M43" s="117">
        <f>IFERROR(__xludf.DUMMYFUNCTION("GOOGLEFINANCE(B43,""EPS"")"),52.85)</f>
        <v>52.85</v>
      </c>
      <c r="N43" s="117">
        <f>IFERROR(__xludf.DUMMYFUNCTION("GOOGLEFINANCE(B43,""PE"")"),31.69)</f>
        <v>31.69</v>
      </c>
      <c r="O43" s="10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</row>
    <row r="44">
      <c r="A44" s="117">
        <v>41.0</v>
      </c>
      <c r="B44" s="6" t="s">
        <v>199</v>
      </c>
      <c r="C44" s="6"/>
      <c r="D44" s="117">
        <v>900.0</v>
      </c>
      <c r="E44" s="6"/>
      <c r="F44" s="117">
        <f>IFERROR(__xludf.DUMMYFUNCTION("GOOGLEFINANCE(B44,""price"")"),1502.9)</f>
        <v>1502.9</v>
      </c>
      <c r="G44" s="117">
        <f>IFERROR(__xludf.DUMMYFUNCTION("GOOGLEFINANCE(B44,""closeyest"")"),1503.3)</f>
        <v>1503.3</v>
      </c>
      <c r="H44" s="117">
        <f>IFERROR(__xludf.DUMMYFUNCTION("GOOGLEFINANCE(B44,""LOW52"")"),1335.0)</f>
        <v>1335</v>
      </c>
      <c r="I44" s="117">
        <f>IFERROR(__xludf.DUMMYFUNCTION("GOOGLEFINANCE(B44,""HIGH52"")"),1673.0)</f>
        <v>1673</v>
      </c>
      <c r="J44" s="117">
        <f>IFERROR(__xludf.DUMMYFUNCTION("GOOGLEFINANCE(B44,""VOLUME"")"),1596245.0)</f>
        <v>1596245</v>
      </c>
      <c r="K44" s="117">
        <f>IFERROR(__xludf.DUMMYFUNCTION("GOOGLEFINANCE(B44,""marketcap"")"),1.212954419947E12)</f>
        <v>1212954419947</v>
      </c>
      <c r="L44" s="117">
        <f>IFERROR(__xludf.DUMMYFUNCTION("GOOGLEFINANCE(B44,""shares"")"),8.0566752E8)</f>
        <v>805667520</v>
      </c>
      <c r="M44" s="117">
        <f>IFERROR(__xludf.DUMMYFUNCTION("GOOGLEFINANCE(B44,""EPS"")"),67.33)</f>
        <v>67.33</v>
      </c>
      <c r="N44" s="117">
        <f>IFERROR(__xludf.DUMMYFUNCTION("GOOGLEFINANCE(B44,""PE"")"),22.32)</f>
        <v>22.32</v>
      </c>
      <c r="O44" s="10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</row>
    <row r="45">
      <c r="A45" s="117">
        <v>42.0</v>
      </c>
      <c r="B45" s="6" t="s">
        <v>200</v>
      </c>
      <c r="C45" s="6"/>
      <c r="D45" s="117">
        <v>207.0</v>
      </c>
      <c r="E45" s="6"/>
      <c r="F45" s="117">
        <f>IFERROR(__xludf.DUMMYFUNCTION("GOOGLEFINANCE(B45,""price"")"),373.0)</f>
        <v>373</v>
      </c>
      <c r="G45" s="117">
        <f>IFERROR(__xludf.DUMMYFUNCTION("GOOGLEFINANCE(B45,""closeyest"")"),377.55)</f>
        <v>377.55</v>
      </c>
      <c r="H45" s="117">
        <f>IFERROR(__xludf.DUMMYFUNCTION("GOOGLEFINANCE(B45,""LOW52"")"),349.25)</f>
        <v>349.25</v>
      </c>
      <c r="I45" s="117">
        <f>IFERROR(__xludf.DUMMYFUNCTION("GOOGLEFINANCE(B45,""HIGH52"")"),440.35)</f>
        <v>440.35</v>
      </c>
      <c r="J45" s="117">
        <f>IFERROR(__xludf.DUMMYFUNCTION("GOOGLEFINANCE(B45,""VOLUME"")"),6648689.0)</f>
        <v>6648689</v>
      </c>
      <c r="K45" s="117">
        <f>IFERROR(__xludf.DUMMYFUNCTION("GOOGLEFINANCE(B45,""marketcap"")"),2.298737041804E12)</f>
        <v>2298737041804</v>
      </c>
      <c r="L45" s="117">
        <f>IFERROR(__xludf.DUMMYFUNCTION("GOOGLEFINANCE(B45,""shares"")"),6.207409152E9)</f>
        <v>6207409152</v>
      </c>
      <c r="M45" s="117">
        <f>IFERROR(__xludf.DUMMYFUNCTION("GOOGLEFINANCE(B45,""EPS"")"),50.64)</f>
        <v>50.64</v>
      </c>
      <c r="N45" s="117">
        <f>IFERROR(__xludf.DUMMYFUNCTION("GOOGLEFINANCE(B45,""PE"")"),7.37)</f>
        <v>7.37</v>
      </c>
      <c r="O45" s="10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</row>
    <row r="46">
      <c r="A46" s="117">
        <v>43.0</v>
      </c>
      <c r="B46" s="6" t="s">
        <v>201</v>
      </c>
      <c r="C46" s="6"/>
      <c r="D46" s="117">
        <v>3210.0</v>
      </c>
      <c r="E46" s="6"/>
      <c r="F46" s="117">
        <f>IFERROR(__xludf.DUMMYFUNCTION("GOOGLEFINANCE(B46,""price"")"),1760.0)</f>
        <v>1760</v>
      </c>
      <c r="G46" s="117">
        <f>IFERROR(__xludf.DUMMYFUNCTION("GOOGLEFINANCE(B46,""closeyest"")"),1767.0)</f>
        <v>1767</v>
      </c>
      <c r="H46" s="117">
        <f>IFERROR(__xludf.DUMMYFUNCTION("GOOGLEFINANCE(B46,""LOW52"")"),1194.01)</f>
        <v>1194.01</v>
      </c>
      <c r="I46" s="117">
        <f>IFERROR(__xludf.DUMMYFUNCTION("GOOGLEFINANCE(B46,""HIGH52"")"),2005.36)</f>
        <v>2005.36</v>
      </c>
      <c r="J46" s="117">
        <f>IFERROR(__xludf.DUMMYFUNCTION("GOOGLEFINANCE(B46,""VOLUME"")"),1453706.0)</f>
        <v>1453706</v>
      </c>
      <c r="K46" s="117">
        <f>IFERROR(__xludf.DUMMYFUNCTION("GOOGLEFINANCE(B46,""marketcap"")"),5.8923832E11)</f>
        <v>589238320000</v>
      </c>
      <c r="L46" s="17" t="str">
        <f>IFERROR(__xludf.DUMMYFUNCTION("GOOGLEFINANCE(B46,""shares"")"),"#N/A")</f>
        <v>#N/A</v>
      </c>
      <c r="M46" s="117">
        <f>IFERROR(__xludf.DUMMYFUNCTION("GOOGLEFINANCE(B46,""EPS"")"),34.57)</f>
        <v>34.57</v>
      </c>
      <c r="N46" s="117">
        <f>IFERROR(__xludf.DUMMYFUNCTION("GOOGLEFINANCE(B46,""PE"")"),50.91)</f>
        <v>50.91</v>
      </c>
      <c r="O46" s="10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</row>
    <row r="47">
      <c r="A47" s="117">
        <v>44.0</v>
      </c>
      <c r="B47" s="6" t="s">
        <v>18</v>
      </c>
      <c r="C47" s="6"/>
      <c r="D47" s="117">
        <v>1375.0</v>
      </c>
      <c r="E47" s="6"/>
      <c r="F47" s="117">
        <f>IFERROR(__xludf.DUMMYFUNCTION("GOOGLEFINANCE(B47,""price"")"),2171.0)</f>
        <v>2171</v>
      </c>
      <c r="G47" s="117">
        <f>IFERROR(__xludf.DUMMYFUNCTION("GOOGLEFINANCE(B47,""closeyest"")"),2190.8)</f>
        <v>2190.8</v>
      </c>
      <c r="H47" s="117">
        <f>IFERROR(__xludf.DUMMYFUNCTION("GOOGLEFINANCE(B47,""LOW52"")"),2151.0)</f>
        <v>2151</v>
      </c>
      <c r="I47" s="117">
        <f>IFERROR(__xludf.DUMMYFUNCTION("GOOGLEFINANCE(B47,""HIGH52"")"),3115.0)</f>
        <v>3115</v>
      </c>
      <c r="J47" s="117">
        <f>IFERROR(__xludf.DUMMYFUNCTION("GOOGLEFINANCE(B47,""VOLUME"")"),411132.0)</f>
        <v>411132</v>
      </c>
      <c r="K47" s="117">
        <f>IFERROR(__xludf.DUMMYFUNCTION("GOOGLEFINANCE(B47,""marketcap"")"),5.9054536151E11)</f>
        <v>590545361510</v>
      </c>
      <c r="L47" s="117">
        <f>IFERROR(__xludf.DUMMYFUNCTION("GOOGLEFINANCE(B47,""shares"")"),2.71985632E8)</f>
        <v>271985632</v>
      </c>
      <c r="M47" s="117">
        <f>IFERROR(__xludf.DUMMYFUNCTION("GOOGLEFINANCE(B47,""EPS"")"),48.76)</f>
        <v>48.76</v>
      </c>
      <c r="N47" s="117">
        <f>IFERROR(__xludf.DUMMYFUNCTION("GOOGLEFINANCE(B47,""PE"")"),44.53)</f>
        <v>44.53</v>
      </c>
      <c r="O47" s="10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</row>
    <row r="48">
      <c r="A48" s="117">
        <v>45.0</v>
      </c>
      <c r="B48" s="6" t="s">
        <v>202</v>
      </c>
      <c r="C48" s="6"/>
      <c r="D48" s="117">
        <v>660.0</v>
      </c>
      <c r="E48" s="6"/>
      <c r="F48" s="117">
        <f>IFERROR(__xludf.DUMMYFUNCTION("GOOGLEFINANCE(B48,""price"")"),519.5)</f>
        <v>519.5</v>
      </c>
      <c r="G48" s="117">
        <f>IFERROR(__xludf.DUMMYFUNCTION("GOOGLEFINANCE(B48,""closeyest"")"),542.5)</f>
        <v>542.5</v>
      </c>
      <c r="H48" s="117">
        <f>IFERROR(__xludf.DUMMYFUNCTION("GOOGLEFINANCE(B48,""LOW52"")"),481.0)</f>
        <v>481</v>
      </c>
      <c r="I48" s="117">
        <f>IFERROR(__xludf.DUMMYFUNCTION("GOOGLEFINANCE(B48,""HIGH52"")"),694.4)</f>
        <v>694.4</v>
      </c>
      <c r="J48" s="117">
        <f>IFERROR(__xludf.DUMMYFUNCTION("GOOGLEFINANCE(B48,""VOLUME"")"),4558191.0)</f>
        <v>4558191</v>
      </c>
      <c r="K48" s="117">
        <f>IFERROR(__xludf.DUMMYFUNCTION("GOOGLEFINANCE(B48,""marketcap"")"),3.16247413604E11)</f>
        <v>316247413604</v>
      </c>
      <c r="L48" s="117">
        <f>IFERROR(__xludf.DUMMYFUNCTION("GOOGLEFINANCE(B48,""shares"")"),4.87435488E8)</f>
        <v>487435488</v>
      </c>
      <c r="M48" s="117">
        <f>IFERROR(__xludf.DUMMYFUNCTION("GOOGLEFINANCE(B48,""EPS"")"),16.31)</f>
        <v>16.31</v>
      </c>
      <c r="N48" s="117">
        <f>IFERROR(__xludf.DUMMYFUNCTION("GOOGLEFINANCE(B48,""PE"")"),31.84)</f>
        <v>31.84</v>
      </c>
      <c r="O48" s="10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</row>
    <row r="49">
      <c r="A49" s="117">
        <v>46.0</v>
      </c>
      <c r="B49" s="6" t="s">
        <v>203</v>
      </c>
      <c r="C49" s="6"/>
      <c r="D49" s="117">
        <v>710.0</v>
      </c>
      <c r="E49" s="6"/>
      <c r="F49" s="117">
        <f>IFERROR(__xludf.DUMMYFUNCTION("GOOGLEFINANCE(B49,""price"")"),2145.0)</f>
        <v>2145</v>
      </c>
      <c r="G49" s="117">
        <f>IFERROR(__xludf.DUMMYFUNCTION("GOOGLEFINANCE(B49,""closeyest"")"),2168.8)</f>
        <v>2168.8</v>
      </c>
      <c r="H49" s="117">
        <f>IFERROR(__xludf.DUMMYFUNCTION("GOOGLEFINANCE(B49,""LOW52"")"),1596.0)</f>
        <v>1596</v>
      </c>
      <c r="I49" s="117">
        <f>IFERROR(__xludf.DUMMYFUNCTION("GOOGLEFINANCE(B49,""HIGH52"")"),2718.9)</f>
        <v>2718.9</v>
      </c>
      <c r="J49" s="117">
        <f>IFERROR(__xludf.DUMMYFUNCTION("GOOGLEFINANCE(B49,""VOLUME"")"),347409.0)</f>
        <v>347409</v>
      </c>
      <c r="K49" s="117">
        <f>IFERROR(__xludf.DUMMYFUNCTION("GOOGLEFINANCE(B49,""marketcap"")"),6.31335276E11)</f>
        <v>631335276000</v>
      </c>
      <c r="L49" s="117">
        <f>IFERROR(__xludf.DUMMYFUNCTION("GOOGLEFINANCE(B49,""shares"")"),2.924E8)</f>
        <v>292400000</v>
      </c>
      <c r="M49" s="117">
        <f>IFERROR(__xludf.DUMMYFUNCTION("GOOGLEFINANCE(B49,""EPS"")"),81.45)</f>
        <v>81.45</v>
      </c>
      <c r="N49" s="117">
        <f>IFERROR(__xludf.DUMMYFUNCTION("GOOGLEFINANCE(B49,""PE"")"),26.33)</f>
        <v>26.33</v>
      </c>
      <c r="O49" s="10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</row>
    <row r="50">
      <c r="A50" s="117">
        <v>47.0</v>
      </c>
      <c r="B50" s="6" t="s">
        <v>204</v>
      </c>
      <c r="C50" s="6"/>
      <c r="D50" s="117">
        <v>312.0</v>
      </c>
      <c r="E50" s="6"/>
      <c r="F50" s="117">
        <f>IFERROR(__xludf.DUMMYFUNCTION("GOOGLEFINANCE(B50,""price"")"),277.55)</f>
        <v>277.55</v>
      </c>
      <c r="G50" s="117">
        <f>IFERROR(__xludf.DUMMYFUNCTION("GOOGLEFINANCE(B50,""closeyest"")"),283.25)</f>
        <v>283.25</v>
      </c>
      <c r="H50" s="117">
        <f>IFERROR(__xludf.DUMMYFUNCTION("GOOGLEFINANCE(B50,""LOW52"")"),276.4)</f>
        <v>276.4</v>
      </c>
      <c r="I50" s="117">
        <f>IFERROR(__xludf.DUMMYFUNCTION("GOOGLEFINANCE(B50,""HIGH52"")"),419.45)</f>
        <v>419.45</v>
      </c>
      <c r="J50" s="117">
        <f>IFERROR(__xludf.DUMMYFUNCTION("GOOGLEFINANCE(B50,""VOLUME"")"),2344095.0)</f>
        <v>2344095</v>
      </c>
      <c r="K50" s="117">
        <f>IFERROR(__xludf.DUMMYFUNCTION("GOOGLEFINANCE(B50,""marketcap"")"),1.79086545446E11)</f>
        <v>179086545446</v>
      </c>
      <c r="L50" s="117">
        <f>IFERROR(__xludf.DUMMYFUNCTION("GOOGLEFINANCE(B50,""shares"")"),6.26810688E8)</f>
        <v>626810688</v>
      </c>
      <c r="M50" s="117">
        <f>IFERROR(__xludf.DUMMYFUNCTION("GOOGLEFINANCE(B50,""EPS"")"),8.18)</f>
        <v>8.18</v>
      </c>
      <c r="N50" s="117">
        <f>IFERROR(__xludf.DUMMYFUNCTION("GOOGLEFINANCE(B50,""PE"")"),33.94)</f>
        <v>33.94</v>
      </c>
      <c r="O50" s="106"/>
      <c r="P50" s="6"/>
      <c r="Q50" s="6"/>
      <c r="R50" s="6"/>
      <c r="S50" s="6"/>
      <c r="T50" s="6"/>
      <c r="U50" s="6"/>
      <c r="V50" s="6"/>
      <c r="W50" s="6" t="s">
        <v>205</v>
      </c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</row>
    <row r="51">
      <c r="A51" s="117">
        <v>48.0</v>
      </c>
      <c r="B51" s="6" t="s">
        <v>206</v>
      </c>
      <c r="C51" s="6"/>
      <c r="D51" s="117">
        <v>150.0</v>
      </c>
      <c r="E51" s="6"/>
      <c r="F51" s="117">
        <f>IFERROR(__xludf.DUMMYFUNCTION("GOOGLEFINANCE(B51,""price"")"),10.62)</f>
        <v>10.62</v>
      </c>
      <c r="G51" s="117">
        <f>IFERROR(__xludf.DUMMYFUNCTION("GOOGLEFINANCE(B51,""closeyest"")"),10.62)</f>
        <v>10.62</v>
      </c>
      <c r="H51" s="117">
        <f>IFERROR(__xludf.DUMMYFUNCTION("GOOGLEFINANCE(B51,""LOW52"")"),10.02)</f>
        <v>10.02</v>
      </c>
      <c r="I51" s="117">
        <f>IFERROR(__xludf.DUMMYFUNCTION("GOOGLEFINANCE(B51,""HIGH52"")"),10.62)</f>
        <v>10.62</v>
      </c>
      <c r="J51" s="117">
        <f>IFERROR(__xludf.DUMMYFUNCTION("GOOGLEFINANCE(B51,""VOLUME"")"),277.0)</f>
        <v>277</v>
      </c>
      <c r="K51" s="117">
        <f>IFERROR(__xludf.DUMMYFUNCTION("GOOGLEFINANCE(B51,""marketcap"")"),3.28680605E8)</f>
        <v>328680605</v>
      </c>
      <c r="L51" s="117">
        <f>IFERROR(__xludf.DUMMYFUNCTION("GOOGLEFINANCE(B51,""shares"")"),2.3E7)</f>
        <v>23000000</v>
      </c>
      <c r="M51" s="117">
        <f>IFERROR(__xludf.DUMMYFUNCTION("GOOGLEFINANCE(B51,""EPS"")"),0.33)</f>
        <v>0.33</v>
      </c>
      <c r="N51" s="117">
        <f>IFERROR(__xludf.DUMMYFUNCTION("GOOGLEFINANCE(B51,""PE"")"),32.0)</f>
        <v>32</v>
      </c>
      <c r="O51" s="10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</row>
    <row r="52">
      <c r="A52" s="117">
        <v>49.0</v>
      </c>
      <c r="B52" s="6" t="s">
        <v>57</v>
      </c>
      <c r="C52" s="6"/>
      <c r="D52" s="117">
        <v>1350.0</v>
      </c>
      <c r="E52" s="6"/>
      <c r="F52" s="117">
        <f>IFERROR(__xludf.DUMMYFUNCTION("GOOGLEFINANCE(B52,""price"")"),4314.6)</f>
        <v>4314.6</v>
      </c>
      <c r="G52" s="117">
        <f>IFERROR(__xludf.DUMMYFUNCTION("GOOGLEFINANCE(B52,""closeyest"")"),4316.8)</f>
        <v>4316.8</v>
      </c>
      <c r="H52" s="117">
        <f>IFERROR(__xludf.DUMMYFUNCTION("GOOGLEFINANCE(B52,""LOW52"")"),2580.0)</f>
        <v>2580</v>
      </c>
      <c r="I52" s="117">
        <f>IFERROR(__xludf.DUMMYFUNCTION("GOOGLEFINANCE(B52,""HIGH52"")"),4402.9)</f>
        <v>4402.9</v>
      </c>
      <c r="J52" s="117">
        <f>IFERROR(__xludf.DUMMYFUNCTION("GOOGLEFINANCE(B52,""VOLUME"")"),693125.0)</f>
        <v>693125</v>
      </c>
      <c r="K52" s="117">
        <f>IFERROR(__xludf.DUMMYFUNCTION("GOOGLEFINANCE(B52,""marketcap"")"),1.19600757853E12)</f>
        <v>1196007578530</v>
      </c>
      <c r="L52" s="117">
        <f>IFERROR(__xludf.DUMMYFUNCTION("GOOGLEFINANCE(B52,""shares"")"),2.772E8)</f>
        <v>277200000</v>
      </c>
      <c r="M52" s="117">
        <f>IFERROR(__xludf.DUMMYFUNCTION("GOOGLEFINANCE(B52,""EPS"")"),77.25)</f>
        <v>77.25</v>
      </c>
      <c r="N52" s="117">
        <f>IFERROR(__xludf.DUMMYFUNCTION("GOOGLEFINANCE(B52,""PE"")"),55.85)</f>
        <v>55.85</v>
      </c>
      <c r="O52" s="10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</row>
    <row r="53">
      <c r="A53" s="117">
        <v>50.0</v>
      </c>
      <c r="B53" s="6" t="s">
        <v>207</v>
      </c>
      <c r="C53" s="6"/>
      <c r="D53" s="6"/>
      <c r="E53" s="6"/>
      <c r="F53" s="117">
        <f>IFERROR(__xludf.DUMMYFUNCTION("GOOGLEFINANCE(B53,""price"")"),523.15)</f>
        <v>523.15</v>
      </c>
      <c r="G53" s="117">
        <f>IFERROR(__xludf.DUMMYFUNCTION("GOOGLEFINANCE(B53,""closeyest"")"),517.05)</f>
        <v>517.05</v>
      </c>
      <c r="H53" s="117">
        <f>IFERROR(__xludf.DUMMYFUNCTION("GOOGLEFINANCE(B53,""LOW52"")"),433.3)</f>
        <v>433.3</v>
      </c>
      <c r="I53" s="117">
        <f>IFERROR(__xludf.DUMMYFUNCTION("GOOGLEFINANCE(B53,""HIGH52"")"),577.0)</f>
        <v>577</v>
      </c>
      <c r="J53" s="117">
        <f>IFERROR(__xludf.DUMMYFUNCTION("GOOGLEFINANCE(B53,""VOLUME"")"),3911239.0)</f>
        <v>3911239</v>
      </c>
      <c r="K53" s="117">
        <f>IFERROR(__xludf.DUMMYFUNCTION("GOOGLEFINANCE(B53,""marketcap"")"),9.26490846295E11)</f>
        <v>926490846295</v>
      </c>
      <c r="L53" s="117">
        <f>IFERROR(__xludf.DUMMYFUNCTION("GOOGLEFINANCE(B53,""shares"")"),1.7662912E9)</f>
        <v>1766291200</v>
      </c>
      <c r="M53" s="117">
        <f>IFERROR(__xludf.DUMMYFUNCTION("GOOGLEFINANCE(B53,""EPS"")"),10.18)</f>
        <v>10.18</v>
      </c>
      <c r="N53" s="117">
        <f>IFERROR(__xludf.DUMMYFUNCTION("GOOGLEFINANCE(B53,""PE"")"),51.37)</f>
        <v>51.37</v>
      </c>
      <c r="O53" s="10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</row>
    <row r="54">
      <c r="A54" s="117">
        <v>51.0</v>
      </c>
      <c r="B54" s="6" t="s">
        <v>208</v>
      </c>
      <c r="C54" s="6"/>
      <c r="D54" s="6"/>
      <c r="E54" s="6"/>
      <c r="F54" s="117">
        <f>IFERROR(__xludf.DUMMYFUNCTION("GOOGLEFINANCE(B54,""price"")"),2053.0)</f>
        <v>2053</v>
      </c>
      <c r="G54" s="117">
        <f>IFERROR(__xludf.DUMMYFUNCTION("GOOGLEFINANCE(B54,""closeyest"")"),2049.6)</f>
        <v>2049.6</v>
      </c>
      <c r="H54" s="117">
        <f>IFERROR(__xludf.DUMMYFUNCTION("GOOGLEFINANCE(B54,""LOW52"")"),1601.0)</f>
        <v>1601</v>
      </c>
      <c r="I54" s="117">
        <f>IFERROR(__xludf.DUMMYFUNCTION("GOOGLEFINANCE(B54,""HIGH52"")"),2496.3)</f>
        <v>2496.3</v>
      </c>
      <c r="J54" s="117">
        <f>IFERROR(__xludf.DUMMYFUNCTION("GOOGLEFINANCE(B54,""VOLUME"")"),196404.0)</f>
        <v>196404</v>
      </c>
      <c r="K54" s="117">
        <f>IFERROR(__xludf.DUMMYFUNCTION("GOOGLEFINANCE(B54,""marketcap"")"),3.85723969594E11)</f>
        <v>385723969594</v>
      </c>
      <c r="L54" s="17" t="str">
        <f>IFERROR(__xludf.DUMMYFUNCTION("GOOGLEFINANCE(B54,""shares"")"),"#N/A")</f>
        <v>#N/A</v>
      </c>
      <c r="M54" s="117">
        <f>IFERROR(__xludf.DUMMYFUNCTION("GOOGLEFINANCE(B54,""EPS"")"),59.99)</f>
        <v>59.99</v>
      </c>
      <c r="N54" s="117">
        <f>IFERROR(__xludf.DUMMYFUNCTION("GOOGLEFINANCE(B54,""PE"")"),34.22)</f>
        <v>34.22</v>
      </c>
      <c r="O54" s="10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</row>
    <row r="55">
      <c r="A55" s="117">
        <v>52.0</v>
      </c>
      <c r="B55" s="6" t="s">
        <v>209</v>
      </c>
      <c r="C55" s="6"/>
      <c r="D55" s="6"/>
      <c r="E55" s="6"/>
      <c r="F55" s="117">
        <f>IFERROR(__xludf.DUMMYFUNCTION("GOOGLEFINANCE(B55,""price"")"),1734.0)</f>
        <v>1734</v>
      </c>
      <c r="G55" s="117">
        <f>IFERROR(__xludf.DUMMYFUNCTION("GOOGLEFINANCE(B55,""closeyest"")"),1751.9)</f>
        <v>1751.9</v>
      </c>
      <c r="H55" s="117">
        <f>IFERROR(__xludf.DUMMYFUNCTION("GOOGLEFINANCE(B55,""LOW52"")"),1715.0)</f>
        <v>1715</v>
      </c>
      <c r="I55" s="117">
        <f>IFERROR(__xludf.DUMMYFUNCTION("GOOGLEFINANCE(B55,""HIGH52"")"),2885.1)</f>
        <v>2885.1</v>
      </c>
      <c r="J55" s="117">
        <f>IFERROR(__xludf.DUMMYFUNCTION("GOOGLEFINANCE(B55,""VOLUME"")"),114411.0)</f>
        <v>114411</v>
      </c>
      <c r="K55" s="117">
        <f>IFERROR(__xludf.DUMMYFUNCTION("GOOGLEFINANCE(B55,""marketcap"")"),2.36505462E11)</f>
        <v>236505462000</v>
      </c>
      <c r="L55" s="117">
        <f>IFERROR(__xludf.DUMMYFUNCTION("GOOGLEFINANCE(B55,""shares"")"),1.3639304E8)</f>
        <v>136393040</v>
      </c>
      <c r="M55" s="117">
        <f>IFERROR(__xludf.DUMMYFUNCTION("GOOGLEFINANCE(B55,""EPS"")"),44.49)</f>
        <v>44.49</v>
      </c>
      <c r="N55" s="117">
        <f>IFERROR(__xludf.DUMMYFUNCTION("GOOGLEFINANCE(B55,""PE"")"),38.97)</f>
        <v>38.97</v>
      </c>
      <c r="O55" s="10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</row>
    <row r="56">
      <c r="A56" s="117">
        <v>53.0</v>
      </c>
      <c r="B56" s="6" t="s">
        <v>210</v>
      </c>
      <c r="C56" s="6"/>
      <c r="D56" s="6"/>
      <c r="E56" s="6"/>
      <c r="F56" s="117">
        <f>IFERROR(__xludf.DUMMYFUNCTION("GOOGLEFINANCE(B56,""price"")"),75.25)</f>
        <v>75.25</v>
      </c>
      <c r="G56" s="117">
        <f>IFERROR(__xludf.DUMMYFUNCTION("GOOGLEFINANCE(B56,""closeyest"")"),76.83)</f>
        <v>76.83</v>
      </c>
      <c r="H56" s="117">
        <f>IFERROR(__xludf.DUMMYFUNCTION("GOOGLEFINANCE(B56,""LOW52"")"),75.0)</f>
        <v>75</v>
      </c>
      <c r="I56" s="117">
        <f>IFERROR(__xludf.DUMMYFUNCTION("GOOGLEFINANCE(B56,""HIGH52"")"),131.45)</f>
        <v>131.45</v>
      </c>
      <c r="J56" s="117">
        <f>IFERROR(__xludf.DUMMYFUNCTION("GOOGLEFINANCE(B56,""VOLUME"")"),904863.0)</f>
        <v>904863</v>
      </c>
      <c r="K56" s="117">
        <f>IFERROR(__xludf.DUMMYFUNCTION("GOOGLEFINANCE(B56,""marketcap"")"),2.0146398469E10)</f>
        <v>20146398469</v>
      </c>
      <c r="L56" s="117">
        <f>IFERROR(__xludf.DUMMYFUNCTION("GOOGLEFINANCE(B56,""shares"")"),2.709E8)</f>
        <v>270900000</v>
      </c>
      <c r="M56" s="117">
        <f>IFERROR(__xludf.DUMMYFUNCTION("GOOGLEFINANCE(B56,""EPS"")"),9.53)</f>
        <v>9.53</v>
      </c>
      <c r="N56" s="117">
        <f>IFERROR(__xludf.DUMMYFUNCTION("GOOGLEFINANCE(B56,""PE"")"),7.9)</f>
        <v>7.9</v>
      </c>
      <c r="O56" s="10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</row>
    <row r="57">
      <c r="A57" s="117">
        <v>54.0</v>
      </c>
      <c r="B57" s="6" t="s">
        <v>211</v>
      </c>
      <c r="C57" s="6"/>
      <c r="D57" s="6"/>
      <c r="E57" s="6"/>
      <c r="F57" s="117">
        <f>IFERROR(__xludf.DUMMYFUNCTION("GOOGLEFINANCE(B57,""price"")"),6875.0)</f>
        <v>6875</v>
      </c>
      <c r="G57" s="117">
        <f>IFERROR(__xludf.DUMMYFUNCTION("GOOGLEFINANCE(B57,""closeyest"")"),6804.5)</f>
        <v>6804.5</v>
      </c>
      <c r="H57" s="117">
        <f>IFERROR(__xludf.DUMMYFUNCTION("GOOGLEFINANCE(B57,""LOW52"")"),4955.0)</f>
        <v>4955</v>
      </c>
      <c r="I57" s="117">
        <f>IFERROR(__xludf.DUMMYFUNCTION("GOOGLEFINANCE(B57,""HIGH52"")"),7071.5)</f>
        <v>7071.5</v>
      </c>
      <c r="J57" s="117">
        <f>IFERROR(__xludf.DUMMYFUNCTION("GOOGLEFINANCE(B57,""VOLUME"")"),721954.0)</f>
        <v>721954</v>
      </c>
      <c r="K57" s="117">
        <f>IFERROR(__xludf.DUMMYFUNCTION("GOOGLEFINANCE(B57,""marketcap"")"),1.828266336639E12)</f>
        <v>1828266336639</v>
      </c>
      <c r="L57" s="117">
        <f>IFERROR(__xludf.DUMMYFUNCTION("GOOGLEFINANCE(B57,""shares"")"),2.65468576E8)</f>
        <v>265468576</v>
      </c>
      <c r="M57" s="117">
        <f>IFERROR(__xludf.DUMMYFUNCTION("GOOGLEFINANCE(B57,""EPS"")"),86.9)</f>
        <v>86.9</v>
      </c>
      <c r="N57" s="117">
        <f>IFERROR(__xludf.DUMMYFUNCTION("GOOGLEFINANCE(B57,""PE"")"),79.12)</f>
        <v>79.12</v>
      </c>
      <c r="O57" s="10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</row>
    <row r="58">
      <c r="A58" s="117">
        <v>55.0</v>
      </c>
      <c r="B58" s="6" t="s">
        <v>212</v>
      </c>
      <c r="C58" s="6"/>
      <c r="D58" s="6"/>
      <c r="E58" s="6"/>
      <c r="F58" s="117">
        <f>IFERROR(__xludf.DUMMYFUNCTION("GOOGLEFINANCE(B58,""price"")"),15090.0)</f>
        <v>15090</v>
      </c>
      <c r="G58" s="117">
        <f>IFERROR(__xludf.DUMMYFUNCTION("GOOGLEFINANCE(B58,""closeyest"")"),15254.0)</f>
        <v>15254</v>
      </c>
      <c r="H58" s="117">
        <f>IFERROR(__xludf.DUMMYFUNCTION("GOOGLEFINANCE(B58,""LOW52"")"),12202.2)</f>
        <v>12202.2</v>
      </c>
      <c r="I58" s="117">
        <f>IFERROR(__xludf.DUMMYFUNCTION("GOOGLEFINANCE(B58,""HIGH52"")"),19148.9)</f>
        <v>19148.9</v>
      </c>
      <c r="J58" s="117">
        <f>IFERROR(__xludf.DUMMYFUNCTION("GOOGLEFINANCE(B58,""VOLUME"")"),229915.0)</f>
        <v>229915</v>
      </c>
      <c r="K58" s="117">
        <f>IFERROR(__xludf.DUMMYFUNCTION("GOOGLEFINANCE(B58,""marketcap"")"),9.131511294E11)</f>
        <v>913151129400</v>
      </c>
      <c r="L58" s="117">
        <f>IFERROR(__xludf.DUMMYFUNCTION("GOOGLEFINANCE(B58,""shares"")"),1.133E7)</f>
        <v>11330000</v>
      </c>
      <c r="M58" s="117">
        <f>IFERROR(__xludf.DUMMYFUNCTION("GOOGLEFINANCE(B58,""EPS"")"),255.64)</f>
        <v>255.64</v>
      </c>
      <c r="N58" s="117">
        <f>IFERROR(__xludf.DUMMYFUNCTION("GOOGLEFINANCE(B58,""PE"")"),59.03)</f>
        <v>59.03</v>
      </c>
      <c r="O58" s="10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</row>
    <row r="59">
      <c r="A59" s="117">
        <v>56.0</v>
      </c>
      <c r="B59" s="6" t="s">
        <v>213</v>
      </c>
      <c r="C59" s="6"/>
      <c r="D59" s="6"/>
      <c r="E59" s="6"/>
      <c r="F59" s="117">
        <f>IFERROR(__xludf.DUMMYFUNCTION("GOOGLEFINANCE(B59,""price"")"),758.9)</f>
        <v>758.9</v>
      </c>
      <c r="G59" s="117">
        <f>IFERROR(__xludf.DUMMYFUNCTION("GOOGLEFINANCE(B59,""closeyest"")"),774.6)</f>
        <v>774.6</v>
      </c>
      <c r="H59" s="117">
        <f>IFERROR(__xludf.DUMMYFUNCTION("GOOGLEFINANCE(B59,""LOW52"")"),601.2)</f>
        <v>601.2</v>
      </c>
      <c r="I59" s="117">
        <f>IFERROR(__xludf.DUMMYFUNCTION("GOOGLEFINANCE(B59,""HIGH52"")"),896.6)</f>
        <v>896.6</v>
      </c>
      <c r="J59" s="117">
        <f>IFERROR(__xludf.DUMMYFUNCTION("GOOGLEFINANCE(B59,""VOLUME"")"),2753925.0)</f>
        <v>2753925</v>
      </c>
      <c r="K59" s="117">
        <f>IFERROR(__xludf.DUMMYFUNCTION("GOOGLEFINANCE(B59,""marketcap"")"),1.876421310424E12)</f>
        <v>1876421310424</v>
      </c>
      <c r="L59" s="117">
        <f>IFERROR(__xludf.DUMMYFUNCTION("GOOGLEFINANCE(B59,""shares"")"),1.784475136E9)</f>
        <v>1784475136</v>
      </c>
      <c r="M59" s="117">
        <f>IFERROR(__xludf.DUMMYFUNCTION("GOOGLEFINANCE(B59,""EPS"")"),17.32)</f>
        <v>17.32</v>
      </c>
      <c r="N59" s="117">
        <f>IFERROR(__xludf.DUMMYFUNCTION("GOOGLEFINANCE(B59,""PE"")"),43.83)</f>
        <v>43.83</v>
      </c>
      <c r="O59" s="10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</row>
    <row r="60">
      <c r="A60" s="117">
        <v>57.0</v>
      </c>
      <c r="B60" s="6" t="s">
        <v>214</v>
      </c>
      <c r="C60" s="6"/>
      <c r="D60" s="6"/>
      <c r="E60" s="6"/>
      <c r="F60" s="117">
        <f>IFERROR(__xludf.DUMMYFUNCTION("GOOGLEFINANCE(B60,""price"")"),1204.0)</f>
        <v>1204</v>
      </c>
      <c r="G60" s="117">
        <f>IFERROR(__xludf.DUMMYFUNCTION("GOOGLEFINANCE(B60,""closeyest"")"),1200.0)</f>
        <v>1200</v>
      </c>
      <c r="H60" s="117">
        <f>IFERROR(__xludf.DUMMYFUNCTION("GOOGLEFINANCE(B60,""LOW52"")"),1020.0)</f>
        <v>1020</v>
      </c>
      <c r="I60" s="117">
        <f>IFERROR(__xludf.DUMMYFUNCTION("GOOGLEFINANCE(B60,""HIGH52"")"),1405.9)</f>
        <v>1405.9</v>
      </c>
      <c r="J60" s="117">
        <f>IFERROR(__xludf.DUMMYFUNCTION("GOOGLEFINANCE(B60,""VOLUME"")"),1560897.0)</f>
        <v>1560897</v>
      </c>
      <c r="K60" s="117">
        <f>IFERROR(__xludf.DUMMYFUNCTION("GOOGLEFINANCE(B60,""marketcap"")"),1.002164568972E12)</f>
        <v>1002164568972</v>
      </c>
      <c r="L60" s="117">
        <f>IFERROR(__xludf.DUMMYFUNCTION("GOOGLEFINANCE(B60,""shares"")"),1.66061056E8)</f>
        <v>166061056</v>
      </c>
      <c r="M60" s="117">
        <f>IFERROR(__xludf.DUMMYFUNCTION("GOOGLEFINANCE(B60,""EPS"")"),69.23)</f>
        <v>69.23</v>
      </c>
      <c r="N60" s="117">
        <f>IFERROR(__xludf.DUMMYFUNCTION("GOOGLEFINANCE(B60,""PE"")"),17.39)</f>
        <v>17.39</v>
      </c>
      <c r="O60" s="10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</row>
    <row r="61">
      <c r="A61" s="117">
        <v>58.0</v>
      </c>
      <c r="B61" s="6" t="s">
        <v>215</v>
      </c>
      <c r="C61" s="6"/>
      <c r="D61" s="6"/>
      <c r="E61" s="6"/>
      <c r="F61" s="117">
        <f>IFERROR(__xludf.DUMMYFUNCTION("GOOGLEFINANCE(B61,""price"")"),6810.0)</f>
        <v>6810</v>
      </c>
      <c r="G61" s="117">
        <f>IFERROR(__xludf.DUMMYFUNCTION("GOOGLEFINANCE(B61,""closeyest"")"),6930.0)</f>
        <v>6930</v>
      </c>
      <c r="H61" s="117">
        <f>IFERROR(__xludf.DUMMYFUNCTION("GOOGLEFINANCE(B61,""LOW52"")"),4536.05)</f>
        <v>4536.05</v>
      </c>
      <c r="I61" s="117">
        <f>IFERROR(__xludf.DUMMYFUNCTION("GOOGLEFINANCE(B61,""HIGH52"")"),7122.5)</f>
        <v>7122.5</v>
      </c>
      <c r="J61" s="117">
        <f>IFERROR(__xludf.DUMMYFUNCTION("GOOGLEFINANCE(B61,""VOLUME"")"),435650.0)</f>
        <v>435650</v>
      </c>
      <c r="K61" s="117">
        <f>IFERROR(__xludf.DUMMYFUNCTION("GOOGLEFINANCE(B61,""marketcap"")"),1.864056912067E12)</f>
        <v>1864056912067</v>
      </c>
      <c r="L61" s="117">
        <f>IFERROR(__xludf.DUMMYFUNCTION("GOOGLEFINANCE(B61,""shares"")"),2.7275652E7)</f>
        <v>27275652</v>
      </c>
      <c r="M61" s="117">
        <f>IFERROR(__xludf.DUMMYFUNCTION("GOOGLEFINANCE(B61,""EPS"")"),176.14)</f>
        <v>176.14</v>
      </c>
      <c r="N61" s="117">
        <f>IFERROR(__xludf.DUMMYFUNCTION("GOOGLEFINANCE(B61,""PE"")"),38.66)</f>
        <v>38.66</v>
      </c>
      <c r="O61" s="10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</row>
    <row r="62">
      <c r="A62" s="117">
        <v>59.0</v>
      </c>
      <c r="B62" s="6" t="s">
        <v>216</v>
      </c>
      <c r="C62" s="6"/>
      <c r="D62" s="6"/>
      <c r="E62" s="6"/>
      <c r="F62" s="117">
        <f>IFERROR(__xludf.DUMMYFUNCTION("GOOGLEFINANCE(B62,""price"")"),3677.2)</f>
        <v>3677.2</v>
      </c>
      <c r="G62" s="117">
        <f>IFERROR(__xludf.DUMMYFUNCTION("GOOGLEFINANCE(B62,""closeyest"")"),3822.3)</f>
        <v>3822.3</v>
      </c>
      <c r="H62" s="117">
        <f>IFERROR(__xludf.DUMMYFUNCTION("GOOGLEFINANCE(B62,""LOW52"")"),2776.4)</f>
        <v>2776.4</v>
      </c>
      <c r="I62" s="117">
        <f>IFERROR(__xludf.DUMMYFUNCTION("GOOGLEFINANCE(B62,""HIGH52"")"),4180.0)</f>
        <v>4180</v>
      </c>
      <c r="J62" s="117">
        <f>IFERROR(__xludf.DUMMYFUNCTION("GOOGLEFINANCE(B62,""VOLUME"")"),120685.0)</f>
        <v>120685</v>
      </c>
      <c r="K62" s="117">
        <f>IFERROR(__xludf.DUMMYFUNCTION("GOOGLEFINANCE(B62,""marketcap"")"),4.06532573816E11)</f>
        <v>406532573816</v>
      </c>
      <c r="L62" s="117">
        <f>IFERROR(__xludf.DUMMYFUNCTION("GOOGLEFINANCE(B62,""shares"")"),1.2257688E8)</f>
        <v>122576880</v>
      </c>
      <c r="M62" s="117">
        <f>IFERROR(__xludf.DUMMYFUNCTION("GOOGLEFINANCE(B62,""EPS"")"),213.95)</f>
        <v>213.95</v>
      </c>
      <c r="N62" s="117">
        <f>IFERROR(__xludf.DUMMYFUNCTION("GOOGLEFINANCE(B62,""PE"")"),17.19)</f>
        <v>17.19</v>
      </c>
      <c r="O62" s="10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</row>
    <row r="63">
      <c r="A63" s="117">
        <v>60.0</v>
      </c>
      <c r="B63" s="6" t="s">
        <v>217</v>
      </c>
      <c r="C63" s="6"/>
      <c r="D63" s="6"/>
      <c r="E63" s="6"/>
      <c r="F63" s="117">
        <f>IFERROR(__xludf.DUMMYFUNCTION("GOOGLEFINANCE(B63,""price"")"),379.6)</f>
        <v>379.6</v>
      </c>
      <c r="G63" s="117">
        <f>IFERROR(__xludf.DUMMYFUNCTION("GOOGLEFINANCE(B63,""closeyest"")"),379.7)</f>
        <v>379.7</v>
      </c>
      <c r="H63" s="117">
        <f>IFERROR(__xludf.DUMMYFUNCTION("GOOGLEFINANCE(B63,""LOW52"")"),328.0)</f>
        <v>328</v>
      </c>
      <c r="I63" s="117">
        <f>IFERROR(__xludf.DUMMYFUNCTION("GOOGLEFINANCE(B63,""HIGH52"")"),472.5)</f>
        <v>472.5</v>
      </c>
      <c r="J63" s="117">
        <f>IFERROR(__xludf.DUMMYFUNCTION("GOOGLEFINANCE(B63,""VOLUME"")"),1515399.0)</f>
        <v>1515399</v>
      </c>
      <c r="K63" s="117">
        <f>IFERROR(__xludf.DUMMYFUNCTION("GOOGLEFINANCE(B63,""marketcap"")"),3.22962187774E11)</f>
        <v>322962187774</v>
      </c>
      <c r="L63" s="117">
        <f>IFERROR(__xludf.DUMMYFUNCTION("GOOGLEFINANCE(B63,""shares"")"),8.5E8)</f>
        <v>850000000</v>
      </c>
      <c r="M63" s="117">
        <f>IFERROR(__xludf.DUMMYFUNCTION("GOOGLEFINANCE(B63,""EPS"")"),9.97)</f>
        <v>9.97</v>
      </c>
      <c r="N63" s="117">
        <f>IFERROR(__xludf.DUMMYFUNCTION("GOOGLEFINANCE(B63,""PE"")"),38.06)</f>
        <v>38.06</v>
      </c>
      <c r="O63" s="10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</row>
    <row r="64">
      <c r="A64" s="117">
        <v>61.0</v>
      </c>
      <c r="B64" s="6" t="s">
        <v>218</v>
      </c>
      <c r="C64" s="6"/>
      <c r="D64" s="6"/>
      <c r="E64" s="6"/>
      <c r="F64" s="117">
        <f>IFERROR(__xludf.DUMMYFUNCTION("GOOGLEFINANCE(B64,""price"")"),235.1)</f>
        <v>235.1</v>
      </c>
      <c r="G64" s="117">
        <f>IFERROR(__xludf.DUMMYFUNCTION("GOOGLEFINANCE(B64,""closeyest"")"),237.85)</f>
        <v>237.85</v>
      </c>
      <c r="H64" s="117">
        <f>IFERROR(__xludf.DUMMYFUNCTION("GOOGLEFINANCE(B64,""LOW52"")"),172.66)</f>
        <v>172.66</v>
      </c>
      <c r="I64" s="117">
        <f>IFERROR(__xludf.DUMMYFUNCTION("GOOGLEFINANCE(B64,""HIGH52"")"),238.99)</f>
        <v>238.99</v>
      </c>
      <c r="J64" s="117">
        <f>IFERROR(__xludf.DUMMYFUNCTION("GOOGLEFINANCE(B64,""VOLUME"")"),4895857.0)</f>
        <v>4895857</v>
      </c>
      <c r="K64" s="117">
        <f>IFERROR(__xludf.DUMMYFUNCTION("GOOGLEFINANCE(B64,""marketcap"")"),5.78227994811E11)</f>
        <v>578227994811</v>
      </c>
      <c r="L64" s="117">
        <f>IFERROR(__xludf.DUMMYFUNCTION("GOOGLEFINANCE(B64,""shares"")"),1.983599488E9)</f>
        <v>1983599488</v>
      </c>
      <c r="M64" s="117">
        <f>IFERROR(__xludf.DUMMYFUNCTION("GOOGLEFINANCE(B64,""EPS"")"),15.91)</f>
        <v>15.91</v>
      </c>
      <c r="N64" s="117">
        <f>IFERROR(__xludf.DUMMYFUNCTION("GOOGLEFINANCE(B64,""PE"")"),14.78)</f>
        <v>14.78</v>
      </c>
      <c r="O64" s="10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</row>
    <row r="65">
      <c r="A65" s="117">
        <v>62.0</v>
      </c>
      <c r="B65" s="6" t="s">
        <v>219</v>
      </c>
      <c r="C65" s="6"/>
      <c r="D65" s="6"/>
      <c r="E65" s="6"/>
      <c r="F65" s="117">
        <f>IFERROR(__xludf.DUMMYFUNCTION("GOOGLEFINANCE(B65,""price"")"),16.49)</f>
        <v>16.49</v>
      </c>
      <c r="G65" s="117">
        <f>IFERROR(__xludf.DUMMYFUNCTION("GOOGLEFINANCE(B65,""closeyest"")"),16.49)</f>
        <v>16.49</v>
      </c>
      <c r="H65" s="117">
        <f>IFERROR(__xludf.DUMMYFUNCTION("GOOGLEFINANCE(B65,""LOW52"")"),16.04)</f>
        <v>16.04</v>
      </c>
      <c r="I65" s="117">
        <f>IFERROR(__xludf.DUMMYFUNCTION("GOOGLEFINANCE(B65,""HIGH52"")"),17.49)</f>
        <v>17.49</v>
      </c>
      <c r="J65" s="117">
        <f>IFERROR(__xludf.DUMMYFUNCTION("GOOGLEFINANCE(B65,""VOLUME"")"),1400.0)</f>
        <v>1400</v>
      </c>
      <c r="K65" s="17" t="str">
        <f>IFERROR(__xludf.DUMMYFUNCTION("GOOGLEFINANCE(B65,""marketcap"")"),"#N/A")</f>
        <v>#N/A</v>
      </c>
      <c r="L65" s="117">
        <f>IFERROR(__xludf.DUMMYFUNCTION("GOOGLEFINANCE(B65,""shares"")"),3698282.0)</f>
        <v>3698282</v>
      </c>
      <c r="M65" s="17" t="str">
        <f>IFERROR(__xludf.DUMMYFUNCTION("GOOGLEFINANCE(B65,""EPS"")"),"#N/A")</f>
        <v>#N/A</v>
      </c>
      <c r="N65" s="17" t="str">
        <f>IFERROR(__xludf.DUMMYFUNCTION("GOOGLEFINANCE(B65,""PE"")"),"#N/A")</f>
        <v>#N/A</v>
      </c>
      <c r="O65" s="10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</row>
    <row r="66">
      <c r="A66" s="117">
        <v>63.0</v>
      </c>
      <c r="B66" s="6" t="s">
        <v>220</v>
      </c>
      <c r="C66" s="6"/>
      <c r="D66" s="6"/>
      <c r="E66" s="6"/>
      <c r="F66" s="117">
        <f>IFERROR(__xludf.DUMMYFUNCTION("GOOGLEFINANCE(B66,""price"")"),178.9)</f>
        <v>178.9</v>
      </c>
      <c r="G66" s="117">
        <f>IFERROR(__xludf.DUMMYFUNCTION("GOOGLEFINANCE(B66,""closeyest"")"),181.62)</f>
        <v>181.62</v>
      </c>
      <c r="H66" s="117">
        <f>IFERROR(__xludf.DUMMYFUNCTION("GOOGLEFINANCE(B66,""LOW52"")"),150.52)</f>
        <v>150.52</v>
      </c>
      <c r="I66" s="117">
        <f>IFERROR(__xludf.DUMMYFUNCTION("GOOGLEFINANCE(B66,""HIGH52"")"),216.47)</f>
        <v>216.47</v>
      </c>
      <c r="J66" s="117">
        <f>IFERROR(__xludf.DUMMYFUNCTION("GOOGLEFINANCE(B66,""VOLUME"")"),8609714.0)</f>
        <v>8609714</v>
      </c>
      <c r="K66" s="117">
        <f>IFERROR(__xludf.DUMMYFUNCTION("GOOGLEFINANCE(B66,""marketcap"")"),1.176522429E12)</f>
        <v>1176522429000</v>
      </c>
      <c r="L66" s="117">
        <f>IFERROR(__xludf.DUMMYFUNCTION("GOOGLEFINANCE(B66,""shares"")"),2.255070976E9)</f>
        <v>2255070976</v>
      </c>
      <c r="M66" s="117">
        <f>IFERROR(__xludf.DUMMYFUNCTION("GOOGLEFINANCE(B66,""EPS"")"),16.6)</f>
        <v>16.6</v>
      </c>
      <c r="N66" s="117">
        <f>IFERROR(__xludf.DUMMYFUNCTION("GOOGLEFINANCE(B66,""PE"")"),10.78)</f>
        <v>10.78</v>
      </c>
      <c r="O66" s="10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</row>
    <row r="67">
      <c r="A67" s="117">
        <v>64.0</v>
      </c>
      <c r="B67" s="6" t="s">
        <v>221</v>
      </c>
      <c r="C67" s="6"/>
      <c r="D67" s="6"/>
      <c r="E67" s="6"/>
      <c r="F67" s="117">
        <f>IFERROR(__xludf.DUMMYFUNCTION("GOOGLEFINANCE(B67,""price"")"),1808.3)</f>
        <v>1808.3</v>
      </c>
      <c r="G67" s="117">
        <f>IFERROR(__xludf.DUMMYFUNCTION("GOOGLEFINANCE(B67,""closeyest"")"),1845.1)</f>
        <v>1845.1</v>
      </c>
      <c r="H67" s="117">
        <f>IFERROR(__xludf.DUMMYFUNCTION("GOOGLEFINANCE(B67,""LOW52"")"),1275.5)</f>
        <v>1275.5</v>
      </c>
      <c r="I67" s="117">
        <f>IFERROR(__xludf.DUMMYFUNCTION("GOOGLEFINANCE(B67,""HIGH52"")"),2284.8)</f>
        <v>2284.8</v>
      </c>
      <c r="J67" s="117">
        <f>IFERROR(__xludf.DUMMYFUNCTION("GOOGLEFINANCE(B67,""VOLUME"")"),356061.0)</f>
        <v>356061</v>
      </c>
      <c r="K67" s="117">
        <f>IFERROR(__xludf.DUMMYFUNCTION("GOOGLEFINANCE(B67,""marketcap"")"),5.11054670268E11)</f>
        <v>511054670268</v>
      </c>
      <c r="L67" s="117">
        <f>IFERROR(__xludf.DUMMYFUNCTION("GOOGLEFINANCE(B67,""shares"")"),0.0)</f>
        <v>0</v>
      </c>
      <c r="M67" s="117">
        <f>IFERROR(__xludf.DUMMYFUNCTION("GOOGLEFINANCE(B67,""EPS"")"),26.7)</f>
        <v>26.7</v>
      </c>
      <c r="N67" s="117">
        <f>IFERROR(__xludf.DUMMYFUNCTION("GOOGLEFINANCE(B67,""PE"")"),67.71)</f>
        <v>67.71</v>
      </c>
      <c r="O67" s="10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</row>
    <row r="68">
      <c r="A68" s="117">
        <v>65.0</v>
      </c>
      <c r="B68" s="6" t="s">
        <v>222</v>
      </c>
      <c r="C68" s="6"/>
      <c r="D68" s="6"/>
      <c r="E68" s="6"/>
      <c r="F68" s="17" t="str">
        <f>IFERROR(__xludf.DUMMYFUNCTION("GOOGLEFINANCE(B68,""price"")"),"#N/A")</f>
        <v>#N/A</v>
      </c>
      <c r="G68" s="17" t="str">
        <f>IFERROR(__xludf.DUMMYFUNCTION("GOOGLEFINANCE(B68,""closeyest"")"),"#N/A")</f>
        <v>#N/A</v>
      </c>
      <c r="H68" s="17" t="str">
        <f>IFERROR(__xludf.DUMMYFUNCTION("GOOGLEFINANCE(B68,""LOW52"")"),"#N/A")</f>
        <v>#N/A</v>
      </c>
      <c r="I68" s="17" t="str">
        <f>IFERROR(__xludf.DUMMYFUNCTION("GOOGLEFINANCE(B68,""HIGH52"")"),"#N/A")</f>
        <v>#N/A</v>
      </c>
      <c r="J68" s="17" t="str">
        <f>IFERROR(__xludf.DUMMYFUNCTION("GOOGLEFINANCE(B68,""VOLUME"")"),"#N/A")</f>
        <v>#N/A</v>
      </c>
      <c r="K68" s="17" t="str">
        <f>IFERROR(__xludf.DUMMYFUNCTION("GOOGLEFINANCE(B68,""marketcap"")"),"#N/A")</f>
        <v>#N/A</v>
      </c>
      <c r="L68" s="17" t="str">
        <f>IFERROR(__xludf.DUMMYFUNCTION("GOOGLEFINANCE(B68,""shares"")"),"#N/A")</f>
        <v>#N/A</v>
      </c>
      <c r="M68" s="17" t="str">
        <f>IFERROR(__xludf.DUMMYFUNCTION("GOOGLEFINANCE(B68,""EPS"")"),"#N/A")</f>
        <v>#N/A</v>
      </c>
      <c r="N68" s="17" t="str">
        <f>IFERROR(__xludf.DUMMYFUNCTION("GOOGLEFINANCE(B68,""PE"")"),"#N/A")</f>
        <v>#N/A</v>
      </c>
      <c r="O68" s="10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</row>
    <row r="69">
      <c r="A69" s="117">
        <v>66.0</v>
      </c>
      <c r="B69" s="6" t="s">
        <v>223</v>
      </c>
      <c r="C69" s="6"/>
      <c r="D69" s="6"/>
      <c r="E69" s="6"/>
      <c r="F69" s="117">
        <f>IFERROR(__xludf.DUMMYFUNCTION("GOOGLEFINANCE(B69,""price"")"),488.05)</f>
        <v>488.05</v>
      </c>
      <c r="G69" s="117">
        <f>IFERROR(__xludf.DUMMYFUNCTION("GOOGLEFINANCE(B69,""closeyest"")"),496.3)</f>
        <v>496.3</v>
      </c>
      <c r="H69" s="117">
        <f>IFERROR(__xludf.DUMMYFUNCTION("GOOGLEFINANCE(B69,""LOW52"")"),449.0)</f>
        <v>449</v>
      </c>
      <c r="I69" s="117">
        <f>IFERROR(__xludf.DUMMYFUNCTION("GOOGLEFINANCE(B69,""HIGH52"")"),663.65)</f>
        <v>663.65</v>
      </c>
      <c r="J69" s="117">
        <f>IFERROR(__xludf.DUMMYFUNCTION("GOOGLEFINANCE(B69,""VOLUME"")"),142527.0)</f>
        <v>142527</v>
      </c>
      <c r="K69" s="117">
        <f>IFERROR(__xludf.DUMMYFUNCTION("GOOGLEFINANCE(B69,""marketcap"")"),7.1846021805E10)</f>
        <v>71846021805</v>
      </c>
      <c r="L69" s="117">
        <f>IFERROR(__xludf.DUMMYFUNCTION("GOOGLEFINANCE(B69,""shares"")"),1.55418784E8)</f>
        <v>155418784</v>
      </c>
      <c r="M69" s="117">
        <f>IFERROR(__xludf.DUMMYFUNCTION("GOOGLEFINANCE(B69,""EPS"")"),38.31)</f>
        <v>38.31</v>
      </c>
      <c r="N69" s="117">
        <f>IFERROR(__xludf.DUMMYFUNCTION("GOOGLEFINANCE(B69,""PE"")"),12.74)</f>
        <v>12.74</v>
      </c>
      <c r="O69" s="10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</row>
    <row r="70">
      <c r="A70" s="117">
        <v>67.0</v>
      </c>
      <c r="B70" s="6" t="s">
        <v>22</v>
      </c>
      <c r="C70" s="6"/>
      <c r="D70" s="6"/>
      <c r="E70" s="6"/>
      <c r="F70" s="117">
        <f>IFERROR(__xludf.DUMMYFUNCTION("GOOGLEFINANCE(B70,""price"")"),1143.5)</f>
        <v>1143.5</v>
      </c>
      <c r="G70" s="117">
        <f>IFERROR(__xludf.DUMMYFUNCTION("GOOGLEFINANCE(B70,""closeyest"")"),1163.4)</f>
        <v>1163.4</v>
      </c>
      <c r="H70" s="117">
        <f>IFERROR(__xludf.DUMMYFUNCTION("GOOGLEFINANCE(B70,""LOW52"")"),979.5)</f>
        <v>979.5</v>
      </c>
      <c r="I70" s="117">
        <f>IFERROR(__xludf.DUMMYFUNCTION("GOOGLEFINANCE(B70,""HIGH52"")"),1314.0)</f>
        <v>1314</v>
      </c>
      <c r="J70" s="117">
        <f>IFERROR(__xludf.DUMMYFUNCTION("GOOGLEFINANCE(B70,""VOLUME"")"),2222520.0)</f>
        <v>2222520</v>
      </c>
      <c r="K70" s="117">
        <f>IFERROR(__xludf.DUMMYFUNCTION("GOOGLEFINANCE(B70,""marketcap"")"),1.169917137E12)</f>
        <v>1169917137000</v>
      </c>
      <c r="L70" s="117">
        <f>IFERROR(__xludf.DUMMYFUNCTION("GOOGLEFINANCE(B70,""shares"")"),1.02216608E9)</f>
        <v>1022166080</v>
      </c>
      <c r="M70" s="117">
        <f>IFERROR(__xludf.DUMMYFUNCTION("GOOGLEFINANCE(B70,""EPS"")"),17.81)</f>
        <v>17.81</v>
      </c>
      <c r="N70" s="117">
        <f>IFERROR(__xludf.DUMMYFUNCTION("GOOGLEFINANCE(B70,""PE"")"),64.21)</f>
        <v>64.21</v>
      </c>
      <c r="O70" s="10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</row>
    <row r="71">
      <c r="A71" s="117">
        <v>68.0</v>
      </c>
      <c r="B71" s="6" t="s">
        <v>224</v>
      </c>
      <c r="C71" s="6"/>
      <c r="D71" s="6"/>
      <c r="E71" s="6"/>
      <c r="F71" s="117">
        <f>IFERROR(__xludf.DUMMYFUNCTION("GOOGLEFINANCE(B71,""price"")"),2193.5)</f>
        <v>2193.5</v>
      </c>
      <c r="G71" s="117">
        <f>IFERROR(__xludf.DUMMYFUNCTION("GOOGLEFINANCE(B71,""closeyest"")"),2293.2)</f>
        <v>2293.2</v>
      </c>
      <c r="H71" s="117">
        <f>IFERROR(__xludf.DUMMYFUNCTION("GOOGLEFINANCE(B71,""LOW52"")"),1900.0)</f>
        <v>1900</v>
      </c>
      <c r="I71" s="117">
        <f>IFERROR(__xludf.DUMMYFUNCTION("GOOGLEFINANCE(B71,""HIGH52"")"),3015.9)</f>
        <v>3015.9</v>
      </c>
      <c r="J71" s="117">
        <f>IFERROR(__xludf.DUMMYFUNCTION("GOOGLEFINANCE(B71,""VOLUME"")"),1250187.0)</f>
        <v>1250187</v>
      </c>
      <c r="K71" s="117">
        <f>IFERROR(__xludf.DUMMYFUNCTION("GOOGLEFINANCE(B71,""marketcap"")"),6.604973364E11)</f>
        <v>660497336400</v>
      </c>
      <c r="L71" s="117">
        <f>IFERROR(__xludf.DUMMYFUNCTION("GOOGLEFINANCE(B71,""shares"")"),2.2932E8)</f>
        <v>229320000</v>
      </c>
      <c r="M71" s="117">
        <f>IFERROR(__xludf.DUMMYFUNCTION("GOOGLEFINANCE(B71,""EPS"")"),50.36)</f>
        <v>50.36</v>
      </c>
      <c r="N71" s="117">
        <f>IFERROR(__xludf.DUMMYFUNCTION("GOOGLEFINANCE(B71,""PE"")"),43.55)</f>
        <v>43.55</v>
      </c>
      <c r="O71" s="10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</row>
    <row r="72">
      <c r="A72" s="117">
        <v>69.0</v>
      </c>
      <c r="B72" s="6" t="s">
        <v>225</v>
      </c>
      <c r="C72" s="6"/>
      <c r="D72" s="6"/>
      <c r="E72" s="6"/>
      <c r="F72" s="117">
        <f>IFERROR(__xludf.DUMMYFUNCTION("GOOGLEFINANCE(B72,""price"")"),551.9)</f>
        <v>551.9</v>
      </c>
      <c r="G72" s="117">
        <f>IFERROR(__xludf.DUMMYFUNCTION("GOOGLEFINANCE(B72,""closeyest"")"),567.7)</f>
        <v>567.7</v>
      </c>
      <c r="H72" s="117">
        <f>IFERROR(__xludf.DUMMYFUNCTION("GOOGLEFINANCE(B72,""LOW52"")"),422.0)</f>
        <v>422</v>
      </c>
      <c r="I72" s="117">
        <f>IFERROR(__xludf.DUMMYFUNCTION("GOOGLEFINANCE(B72,""HIGH52"")"),628.0)</f>
        <v>628</v>
      </c>
      <c r="J72" s="117">
        <f>IFERROR(__xludf.DUMMYFUNCTION("GOOGLEFINANCE(B72,""VOLUME"")"),696917.0)</f>
        <v>696917</v>
      </c>
      <c r="K72" s="117">
        <f>IFERROR(__xludf.DUMMYFUNCTION("GOOGLEFINANCE(B72,""marketcap"")"),1.33892635999E11)</f>
        <v>133892635999</v>
      </c>
      <c r="L72" s="117">
        <f>IFERROR(__xludf.DUMMYFUNCTION("GOOGLEFINANCE(B72,""shares"")"),2.54247568E8)</f>
        <v>254247568</v>
      </c>
      <c r="M72" s="117">
        <f>IFERROR(__xludf.DUMMYFUNCTION("GOOGLEFINANCE(B72,""EPS"")"),19.77)</f>
        <v>19.77</v>
      </c>
      <c r="N72" s="117">
        <f>IFERROR(__xludf.DUMMYFUNCTION("GOOGLEFINANCE(B72,""PE"")"),27.92)</f>
        <v>27.92</v>
      </c>
      <c r="O72" s="10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</row>
    <row r="73">
      <c r="A73" s="117">
        <v>70.0</v>
      </c>
      <c r="B73" s="6" t="s">
        <v>226</v>
      </c>
      <c r="C73" s="6"/>
      <c r="D73" s="6"/>
      <c r="E73" s="6"/>
      <c r="F73" s="117">
        <f>IFERROR(__xludf.DUMMYFUNCTION("GOOGLEFINANCE(B73,""price"")"),2697.0)</f>
        <v>2697</v>
      </c>
      <c r="G73" s="117">
        <f>IFERROR(__xludf.DUMMYFUNCTION("GOOGLEFINANCE(B73,""closeyest"")"),2882.0)</f>
        <v>2882</v>
      </c>
      <c r="H73" s="117">
        <f>IFERROR(__xludf.DUMMYFUNCTION("GOOGLEFINANCE(B73,""LOW52"")"),2276.95)</f>
        <v>2276.95</v>
      </c>
      <c r="I73" s="117">
        <f>IFERROR(__xludf.DUMMYFUNCTION("GOOGLEFINANCE(B73,""HIGH52"")"),2977.8)</f>
        <v>2977.8</v>
      </c>
      <c r="J73" s="117">
        <f>IFERROR(__xludf.DUMMYFUNCTION("GOOGLEFINANCE(B73,""VOLUME"")"),1986853.0)</f>
        <v>1986853</v>
      </c>
      <c r="K73" s="117">
        <f>IFERROR(__xludf.DUMMYFUNCTION("GOOGLEFINANCE(B73,""marketcap"")"),1.8332713818E12)</f>
        <v>1833271381800</v>
      </c>
      <c r="L73" s="117">
        <f>IFERROR(__xludf.DUMMYFUNCTION("GOOGLEFINANCE(B73,""shares"")"),6.576E8)</f>
        <v>657600000</v>
      </c>
      <c r="M73" s="117">
        <f>IFERROR(__xludf.DUMMYFUNCTION("GOOGLEFINANCE(B73,""EPS"")"),58.2)</f>
        <v>58.2</v>
      </c>
      <c r="N73" s="117">
        <f>IFERROR(__xludf.DUMMYFUNCTION("GOOGLEFINANCE(B73,""PE"")"),46.34)</f>
        <v>46.34</v>
      </c>
      <c r="O73" s="10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</row>
    <row r="74">
      <c r="A74" s="117">
        <v>71.0</v>
      </c>
      <c r="B74" s="6" t="s">
        <v>227</v>
      </c>
      <c r="C74" s="6"/>
      <c r="D74" s="6"/>
      <c r="E74" s="6"/>
      <c r="F74" s="117">
        <f>IFERROR(__xludf.DUMMYFUNCTION("GOOGLEFINANCE(B74,""price"")"),304.75)</f>
        <v>304.75</v>
      </c>
      <c r="G74" s="117">
        <f>IFERROR(__xludf.DUMMYFUNCTION("GOOGLEFINANCE(B74,""closeyest"")"),306.9)</f>
        <v>306.9</v>
      </c>
      <c r="H74" s="117">
        <f>IFERROR(__xludf.DUMMYFUNCTION("GOOGLEFINANCE(B74,""LOW52"")"),261.45)</f>
        <v>261.45</v>
      </c>
      <c r="I74" s="117">
        <f>IFERROR(__xludf.DUMMYFUNCTION("GOOGLEFINANCE(B74,""HIGH52"")"),401.4)</f>
        <v>401.4</v>
      </c>
      <c r="J74" s="117">
        <f>IFERROR(__xludf.DUMMYFUNCTION("GOOGLEFINANCE(B74,""VOLUME"")"),412453.0)</f>
        <v>412453</v>
      </c>
      <c r="K74" s="117">
        <f>IFERROR(__xludf.DUMMYFUNCTION("GOOGLEFINANCE(B74,""marketcap"")"),1.71749536393E11)</f>
        <v>171749536393</v>
      </c>
      <c r="L74" s="117">
        <f>IFERROR(__xludf.DUMMYFUNCTION("GOOGLEFINANCE(B74,""shares"")"),5.6388064E8)</f>
        <v>563880640</v>
      </c>
      <c r="M74" s="117">
        <f>IFERROR(__xludf.DUMMYFUNCTION("GOOGLEFINANCE(B74,""EPS"")"),18.62)</f>
        <v>18.62</v>
      </c>
      <c r="N74" s="117">
        <f>IFERROR(__xludf.DUMMYFUNCTION("GOOGLEFINANCE(B74,""PE"")"),16.36)</f>
        <v>16.36</v>
      </c>
      <c r="O74" s="10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</row>
    <row r="75">
      <c r="A75" s="117">
        <v>72.0</v>
      </c>
      <c r="B75" s="6" t="s">
        <v>228</v>
      </c>
      <c r="C75" s="6"/>
      <c r="D75" s="6"/>
      <c r="E75" s="6"/>
      <c r="F75" s="117">
        <f>IFERROR(__xludf.DUMMYFUNCTION("GOOGLEFINANCE(B75,""price"")"),400.55)</f>
        <v>400.55</v>
      </c>
      <c r="G75" s="117">
        <f>IFERROR(__xludf.DUMMYFUNCTION("GOOGLEFINANCE(B75,""closeyest"")"),407.2)</f>
        <v>407.2</v>
      </c>
      <c r="H75" s="117">
        <f>IFERROR(__xludf.DUMMYFUNCTION("GOOGLEFINANCE(B75,""LOW52"")"),360.25)</f>
        <v>360.25</v>
      </c>
      <c r="I75" s="117">
        <f>IFERROR(__xludf.DUMMYFUNCTION("GOOGLEFINANCE(B75,""HIGH52"")"),553.0)</f>
        <v>553</v>
      </c>
      <c r="J75" s="117">
        <f>IFERROR(__xludf.DUMMYFUNCTION("GOOGLEFINANCE(B75,""VOLUME"")"),1117357.0)</f>
        <v>1117357</v>
      </c>
      <c r="K75" s="117">
        <f>IFERROR(__xludf.DUMMYFUNCTION("GOOGLEFINANCE(B75,""marketcap"")"),2.75734606096E11)</f>
        <v>275734606096</v>
      </c>
      <c r="L75" s="17" t="str">
        <f>IFERROR(__xludf.DUMMYFUNCTION("GOOGLEFINANCE(B75,""shares"")"),"#N/A")</f>
        <v>#N/A</v>
      </c>
      <c r="M75" s="117">
        <f>IFERROR(__xludf.DUMMYFUNCTION("GOOGLEFINANCE(B75,""EPS"")"),16.63)</f>
        <v>16.63</v>
      </c>
      <c r="N75" s="117">
        <f>IFERROR(__xludf.DUMMYFUNCTION("GOOGLEFINANCE(B75,""PE"")"),24.08)</f>
        <v>24.08</v>
      </c>
      <c r="O75" s="10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</row>
    <row r="76">
      <c r="A76" s="117">
        <v>73.0</v>
      </c>
      <c r="B76" s="6" t="s">
        <v>47</v>
      </c>
      <c r="C76" s="6"/>
      <c r="D76" s="6"/>
      <c r="E76" s="6"/>
      <c r="F76" s="117">
        <f>IFERROR(__xludf.DUMMYFUNCTION("GOOGLEFINANCE(B76,""price"")"),27.1)</f>
        <v>27.1</v>
      </c>
      <c r="G76" s="117">
        <f>IFERROR(__xludf.DUMMYFUNCTION("GOOGLEFINANCE(B76,""closeyest"")"),26.81)</f>
        <v>26.81</v>
      </c>
      <c r="H76" s="117">
        <f>IFERROR(__xludf.DUMMYFUNCTION("GOOGLEFINANCE(B76,""LOW52"")"),18.72)</f>
        <v>18.72</v>
      </c>
      <c r="I76" s="117">
        <f>IFERROR(__xludf.DUMMYFUNCTION("GOOGLEFINANCE(B76,""HIGH52"")"),32.57)</f>
        <v>32.57</v>
      </c>
      <c r="J76" s="117">
        <f>IFERROR(__xludf.DUMMYFUNCTION("GOOGLEFINANCE(B76,""VOLUME"")"),2879.0)</f>
        <v>2879</v>
      </c>
      <c r="K76" s="117">
        <f>IFERROR(__xludf.DUMMYFUNCTION("GOOGLEFINANCE(B76,""marketcap"")"),2.2808081181E10)</f>
        <v>22808081181</v>
      </c>
      <c r="L76" s="117">
        <f>IFERROR(__xludf.DUMMYFUNCTION("GOOGLEFINANCE(B76,""shares"")"),8.41627E8)</f>
        <v>841627000</v>
      </c>
      <c r="M76" s="117">
        <f>IFERROR(__xludf.DUMMYFUNCTION("GOOGLEFINANCE(B76,""EPS"")"),1.51)</f>
        <v>1.51</v>
      </c>
      <c r="N76" s="117">
        <f>IFERROR(__xludf.DUMMYFUNCTION("GOOGLEFINANCE(B76,""PE"")"),17.93)</f>
        <v>17.93</v>
      </c>
      <c r="O76" s="10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</row>
    <row r="77">
      <c r="A77" s="117">
        <v>74.0</v>
      </c>
      <c r="B77" s="6" t="s">
        <v>229</v>
      </c>
      <c r="C77" s="6"/>
      <c r="D77" s="6"/>
      <c r="E77" s="6"/>
      <c r="F77" s="117">
        <f>IFERROR(__xludf.DUMMYFUNCTION("GOOGLEFINANCE(B77,""price"")"),1444.0)</f>
        <v>1444</v>
      </c>
      <c r="G77" s="117">
        <f>IFERROR(__xludf.DUMMYFUNCTION("GOOGLEFINANCE(B77,""closeyest"")"),1486.4)</f>
        <v>1486.4</v>
      </c>
      <c r="H77" s="117">
        <f>IFERROR(__xludf.DUMMYFUNCTION("GOOGLEFINANCE(B77,""LOW52"")"),1381.3)</f>
        <v>1381.3</v>
      </c>
      <c r="I77" s="117">
        <f>IFERROR(__xludf.DUMMYFUNCTION("GOOGLEFINANCE(B77,""HIGH52"")"),1782.65)</f>
        <v>1782.65</v>
      </c>
      <c r="J77" s="117">
        <f>IFERROR(__xludf.DUMMYFUNCTION("GOOGLEFINANCE(B77,""VOLUME"")"),1209100.0)</f>
        <v>1209100</v>
      </c>
      <c r="K77" s="117">
        <f>IFERROR(__xludf.DUMMYFUNCTION("GOOGLEFINANCE(B77,""marketcap"")"),9.04121216346E11)</f>
        <v>904121216346</v>
      </c>
      <c r="L77" s="117">
        <f>IFERROR(__xludf.DUMMYFUNCTION("GOOGLEFINANCE(B77,""shares"")"),6.25472896E8)</f>
        <v>625472896</v>
      </c>
      <c r="M77" s="117">
        <f>IFERROR(__xludf.DUMMYFUNCTION("GOOGLEFINANCE(B77,""EPS"")"),23.33)</f>
        <v>23.33</v>
      </c>
      <c r="N77" s="117">
        <f>IFERROR(__xludf.DUMMYFUNCTION("GOOGLEFINANCE(B77,""PE"")"),61.88)</f>
        <v>61.88</v>
      </c>
      <c r="O77" s="10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</row>
    <row r="78">
      <c r="A78" s="117">
        <v>75.0</v>
      </c>
      <c r="B78" s="6" t="s">
        <v>230</v>
      </c>
      <c r="C78" s="6"/>
      <c r="D78" s="6"/>
      <c r="E78" s="6"/>
      <c r="F78" s="117">
        <f>IFERROR(__xludf.DUMMYFUNCTION("GOOGLEFINANCE(B78,""price"")"),1527.0)</f>
        <v>1527</v>
      </c>
      <c r="G78" s="117">
        <f>IFERROR(__xludf.DUMMYFUNCTION("GOOGLEFINANCE(B78,""closeyest"")"),1529.1)</f>
        <v>1529.1</v>
      </c>
      <c r="H78" s="117">
        <f>IFERROR(__xludf.DUMMYFUNCTION("GOOGLEFINANCE(B78,""LOW52"")"),1302.75)</f>
        <v>1302.75</v>
      </c>
      <c r="I78" s="117">
        <f>IFERROR(__xludf.DUMMYFUNCTION("GOOGLEFINANCE(B78,""HIGH52"")"),2012.2)</f>
        <v>2012.2</v>
      </c>
      <c r="J78" s="117">
        <f>IFERROR(__xludf.DUMMYFUNCTION("GOOGLEFINANCE(B78,""VOLUME"")"),2474769.0)</f>
        <v>2474769</v>
      </c>
      <c r="K78" s="117">
        <f>IFERROR(__xludf.DUMMYFUNCTION("GOOGLEFINANCE(B78,""marketcap"")"),4.13131377E12)</f>
        <v>4131313770000</v>
      </c>
      <c r="L78" s="117">
        <f>IFERROR(__xludf.DUMMYFUNCTION("GOOGLEFINANCE(B78,""shares"")"),1.356261248E9)</f>
        <v>1356261248</v>
      </c>
      <c r="M78" s="117">
        <f>IFERROR(__xludf.DUMMYFUNCTION("GOOGLEFINANCE(B78,""EPS"")"),62.57)</f>
        <v>62.57</v>
      </c>
      <c r="N78" s="117">
        <f>IFERROR(__xludf.DUMMYFUNCTION("GOOGLEFINANCE(B78,""PE"")"),24.4)</f>
        <v>24.4</v>
      </c>
      <c r="O78" s="10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</row>
    <row r="79">
      <c r="A79" s="117">
        <v>76.0</v>
      </c>
      <c r="B79" s="6" t="s">
        <v>231</v>
      </c>
      <c r="C79" s="6"/>
      <c r="D79" s="6"/>
      <c r="E79" s="6"/>
      <c r="F79" s="17" t="str">
        <f>IFERROR(__xludf.DUMMYFUNCTION("GOOGLEFINANCE(B79,""price"")"),"#N/A")</f>
        <v>#N/A</v>
      </c>
      <c r="G79" s="17" t="str">
        <f>IFERROR(__xludf.DUMMYFUNCTION("GOOGLEFINANCE(B79,""closeyest"")"),"#N/A")</f>
        <v>#N/A</v>
      </c>
      <c r="H79" s="17" t="str">
        <f>IFERROR(__xludf.DUMMYFUNCTION("GOOGLEFINANCE(B79,""LOW52"")"),"#N/A")</f>
        <v>#N/A</v>
      </c>
      <c r="I79" s="17" t="str">
        <f>IFERROR(__xludf.DUMMYFUNCTION("GOOGLEFINANCE(B79,""HIGH52"")"),"#N/A")</f>
        <v>#N/A</v>
      </c>
      <c r="J79" s="17" t="str">
        <f>IFERROR(__xludf.DUMMYFUNCTION("GOOGLEFINANCE(B79,""VOLUME"")"),"#N/A")</f>
        <v>#N/A</v>
      </c>
      <c r="K79" s="17" t="str">
        <f>IFERROR(__xludf.DUMMYFUNCTION("GOOGLEFINANCE(B79,""marketcap"")"),"#N/A")</f>
        <v>#N/A</v>
      </c>
      <c r="L79" s="17" t="str">
        <f>IFERROR(__xludf.DUMMYFUNCTION("GOOGLEFINANCE(B79,""shares"")"),"#N/A")</f>
        <v>#N/A</v>
      </c>
      <c r="M79" s="17" t="str">
        <f>IFERROR(__xludf.DUMMYFUNCTION("GOOGLEFINANCE(B79,""EPS"")"),"#N/A")</f>
        <v>#N/A</v>
      </c>
      <c r="N79" s="17" t="str">
        <f>IFERROR(__xludf.DUMMYFUNCTION("GOOGLEFINANCE(B79,""PE"")"),"#N/A")</f>
        <v>#N/A</v>
      </c>
      <c r="O79" s="10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</row>
    <row r="80">
      <c r="A80" s="117">
        <v>77.0</v>
      </c>
      <c r="B80" s="6" t="s">
        <v>232</v>
      </c>
      <c r="C80" s="6"/>
      <c r="D80" s="6"/>
      <c r="E80" s="6"/>
      <c r="F80" s="117">
        <f>IFERROR(__xludf.DUMMYFUNCTION("GOOGLEFINANCE(B80,""price"")"),5381.0)</f>
        <v>5381</v>
      </c>
      <c r="G80" s="117">
        <f>IFERROR(__xludf.DUMMYFUNCTION("GOOGLEFINANCE(B80,""closeyest"")"),5402.5)</f>
        <v>5402.5</v>
      </c>
      <c r="H80" s="117">
        <f>IFERROR(__xludf.DUMMYFUNCTION("GOOGLEFINANCE(B80,""LOW52"")"),3563.05)</f>
        <v>3563.05</v>
      </c>
      <c r="I80" s="117">
        <f>IFERROR(__xludf.DUMMYFUNCTION("GOOGLEFINANCE(B80,""HIGH52"")"),5934.5)</f>
        <v>5934.5</v>
      </c>
      <c r="J80" s="117">
        <f>IFERROR(__xludf.DUMMYFUNCTION("GOOGLEFINANCE(B80,""VOLUME"")"),489224.0)</f>
        <v>489224</v>
      </c>
      <c r="K80" s="117">
        <f>IFERROR(__xludf.DUMMYFUNCTION("GOOGLEFINANCE(B80,""marketcap"")"),1.152228097509E12)</f>
        <v>1152228097509</v>
      </c>
      <c r="L80" s="117">
        <f>IFERROR(__xludf.DUMMYFUNCTION("GOOGLEFINANCE(B80,""shares"")"),2.1234E8)</f>
        <v>212340000</v>
      </c>
      <c r="M80" s="117">
        <f>IFERROR(__xludf.DUMMYFUNCTION("GOOGLEFINANCE(B80,""EPS"")"),128.04)</f>
        <v>128.04</v>
      </c>
      <c r="N80" s="117">
        <f>IFERROR(__xludf.DUMMYFUNCTION("GOOGLEFINANCE(B80,""PE"")"),42.03)</f>
        <v>42.03</v>
      </c>
      <c r="O80" s="10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</row>
    <row r="81">
      <c r="A81" s="117">
        <v>78.0</v>
      </c>
      <c r="B81" s="6" t="s">
        <v>233</v>
      </c>
      <c r="C81" s="6"/>
      <c r="D81" s="6"/>
      <c r="E81" s="6"/>
      <c r="F81" s="117">
        <f>IFERROR(__xludf.DUMMYFUNCTION("GOOGLEFINANCE(B81,""price"")"),987.5)</f>
        <v>987.5</v>
      </c>
      <c r="G81" s="117">
        <f>IFERROR(__xludf.DUMMYFUNCTION("GOOGLEFINANCE(B81,""closeyest"")"),985.25)</f>
        <v>985.25</v>
      </c>
      <c r="H81" s="117">
        <f>IFERROR(__xludf.DUMMYFUNCTION("GOOGLEFINANCE(B81,""LOW52"")"),812.15)</f>
        <v>812.15</v>
      </c>
      <c r="I81" s="117">
        <f>IFERROR(__xludf.DUMMYFUNCTION("GOOGLEFINANCE(B81,""HIGH52"")"),1020.5)</f>
        <v>1020.5</v>
      </c>
      <c r="J81" s="117">
        <f>IFERROR(__xludf.DUMMYFUNCTION("GOOGLEFINANCE(B81,""VOLUME"")"),2.2279516E7)</f>
        <v>22279516</v>
      </c>
      <c r="K81" s="117">
        <f>IFERROR(__xludf.DUMMYFUNCTION("GOOGLEFINANCE(B81,""marketcap"")"),7.5432616435E12)</f>
        <v>7543261643500</v>
      </c>
      <c r="L81" s="117">
        <f>IFERROR(__xludf.DUMMYFUNCTION("GOOGLEFINANCE(B81,""shares"")"),2.718492928E9)</f>
        <v>2718492928</v>
      </c>
      <c r="M81" s="117">
        <f>IFERROR(__xludf.DUMMYFUNCTION("GOOGLEFINANCE(B81,""EPS"")"),47.02)</f>
        <v>47.02</v>
      </c>
      <c r="N81" s="117">
        <f>IFERROR(__xludf.DUMMYFUNCTION("GOOGLEFINANCE(B81,""PE"")"),21.0)</f>
        <v>21</v>
      </c>
      <c r="O81" s="10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</row>
    <row r="82">
      <c r="A82" s="117">
        <v>79.0</v>
      </c>
      <c r="B82" s="6" t="s">
        <v>234</v>
      </c>
      <c r="C82" s="6"/>
      <c r="D82" s="6"/>
      <c r="E82" s="6"/>
      <c r="F82" s="117">
        <f>IFERROR(__xludf.DUMMYFUNCTION("GOOGLEFINANCE(B82,""price"")"),5322.0)</f>
        <v>5322</v>
      </c>
      <c r="G82" s="117">
        <f>IFERROR(__xludf.DUMMYFUNCTION("GOOGLEFINANCE(B82,""closeyest"")"),5309.0)</f>
        <v>5309</v>
      </c>
      <c r="H82" s="117">
        <f>IFERROR(__xludf.DUMMYFUNCTION("GOOGLEFINANCE(B82,""LOW52"")"),3344.0)</f>
        <v>3344</v>
      </c>
      <c r="I82" s="117">
        <f>IFERROR(__xludf.DUMMYFUNCTION("GOOGLEFINANCE(B82,""HIGH52"")"),5717.0)</f>
        <v>5717</v>
      </c>
      <c r="J82" s="117">
        <f>IFERROR(__xludf.DUMMYFUNCTION("GOOGLEFINANCE(B82,""VOLUME"")"),815323.0)</f>
        <v>815323</v>
      </c>
      <c r="K82" s="117">
        <f>IFERROR(__xludf.DUMMYFUNCTION("GOOGLEFINANCE(B82,""marketcap"")"),1.065357603724E12)</f>
        <v>1065357603724</v>
      </c>
      <c r="L82" s="117">
        <f>IFERROR(__xludf.DUMMYFUNCTION("GOOGLEFINANCE(B82,""shares"")"),1.99719344E8)</f>
        <v>199719344</v>
      </c>
      <c r="M82" s="117">
        <f>IFERROR(__xludf.DUMMYFUNCTION("GOOGLEFINANCE(B82,""EPS"")"),251.57)</f>
        <v>251.57</v>
      </c>
      <c r="N82" s="117">
        <f>IFERROR(__xludf.DUMMYFUNCTION("GOOGLEFINANCE(B82,""PE"")"),21.16)</f>
        <v>21.16</v>
      </c>
      <c r="O82" s="10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</row>
    <row r="83">
      <c r="A83" s="117">
        <v>80.0</v>
      </c>
      <c r="B83" s="6" t="s">
        <v>235</v>
      </c>
      <c r="C83" s="6"/>
      <c r="D83" s="6"/>
      <c r="E83" s="6"/>
      <c r="F83" s="117">
        <f>IFERROR(__xludf.DUMMYFUNCTION("GOOGLEFINANCE(B83,""price"")"),786.55)</f>
        <v>786.55</v>
      </c>
      <c r="G83" s="117">
        <f>IFERROR(__xludf.DUMMYFUNCTION("GOOGLEFINANCE(B83,""closeyest"")"),831.4)</f>
        <v>831.4</v>
      </c>
      <c r="H83" s="117">
        <f>IFERROR(__xludf.DUMMYFUNCTION("GOOGLEFINANCE(B83,""LOW52"")"),546.45)</f>
        <v>546.45</v>
      </c>
      <c r="I83" s="117">
        <f>IFERROR(__xludf.DUMMYFUNCTION("GOOGLEFINANCE(B83,""HIGH52"")"),864.0)</f>
        <v>864</v>
      </c>
      <c r="J83" s="117">
        <f>IFERROR(__xludf.DUMMYFUNCTION("GOOGLEFINANCE(B83,""VOLUME"")"),3.4786635E7)</f>
        <v>34786635</v>
      </c>
      <c r="K83" s="117">
        <f>IFERROR(__xludf.DUMMYFUNCTION("GOOGLEFINANCE(B83,""marketcap"")"),1.762539993897E12)</f>
        <v>1762539993897</v>
      </c>
      <c r="L83" s="117">
        <f>IFERROR(__xludf.DUMMYFUNCTION("GOOGLEFINANCE(B83,""shares"")"),0.0)</f>
        <v>0</v>
      </c>
      <c r="M83" s="117">
        <f>IFERROR(__xludf.DUMMYFUNCTION("GOOGLEFINANCE(B83,""EPS"")"),76.1)</f>
        <v>76.1</v>
      </c>
      <c r="N83" s="117">
        <f>IFERROR(__xludf.DUMMYFUNCTION("GOOGLEFINANCE(B83,""PE"")"),10.34)</f>
        <v>10.34</v>
      </c>
      <c r="O83" s="10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</row>
    <row r="84">
      <c r="A84" s="117">
        <v>81.0</v>
      </c>
      <c r="B84" s="6" t="s">
        <v>236</v>
      </c>
      <c r="C84" s="6"/>
      <c r="D84" s="6"/>
      <c r="E84" s="6"/>
      <c r="F84" s="117">
        <f>IFERROR(__xludf.DUMMYFUNCTION("GOOGLEFINANCE(B84,""price"")"),321.6)</f>
        <v>321.6</v>
      </c>
      <c r="G84" s="117">
        <f>IFERROR(__xludf.DUMMYFUNCTION("GOOGLEFINANCE(B84,""closeyest"")"),332.4)</f>
        <v>332.4</v>
      </c>
      <c r="H84" s="117">
        <f>IFERROR(__xludf.DUMMYFUNCTION("GOOGLEFINANCE(B84,""LOW52"")"),183.82)</f>
        <v>183.82</v>
      </c>
      <c r="I84" s="117">
        <f>IFERROR(__xludf.DUMMYFUNCTION("GOOGLEFINANCE(B84,""HIGH52"")"),365.5)</f>
        <v>365.5</v>
      </c>
      <c r="J84" s="117">
        <f>IFERROR(__xludf.DUMMYFUNCTION("GOOGLEFINANCE(B84,""VOLUME"")"),4353679.0)</f>
        <v>4353679</v>
      </c>
      <c r="K84" s="117">
        <f>IFERROR(__xludf.DUMMYFUNCTION("GOOGLEFINANCE(B84,""marketcap"")"),3.11519149891E11)</f>
        <v>311519149891</v>
      </c>
      <c r="L84" s="117">
        <f>IFERROR(__xludf.DUMMYFUNCTION("GOOGLEFINANCE(B84,""shares"")"),9.25217984E8)</f>
        <v>925217984</v>
      </c>
      <c r="M84" s="117">
        <f>IFERROR(__xludf.DUMMYFUNCTION("GOOGLEFINANCE(B84,""EPS"")"),5.01)</f>
        <v>5.01</v>
      </c>
      <c r="N84" s="117">
        <f>IFERROR(__xludf.DUMMYFUNCTION("GOOGLEFINANCE(B84,""PE"")"),64.14)</f>
        <v>64.14</v>
      </c>
      <c r="O84" s="10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</row>
    <row r="85">
      <c r="A85" s="117">
        <v>82.0</v>
      </c>
      <c r="B85" s="6" t="s">
        <v>237</v>
      </c>
      <c r="C85" s="6"/>
      <c r="D85" s="6"/>
      <c r="E85" s="6"/>
      <c r="F85" s="117">
        <f>IFERROR(__xludf.DUMMYFUNCTION("GOOGLEFINANCE(B85,""price"")"),472.3)</f>
        <v>472.3</v>
      </c>
      <c r="G85" s="117">
        <f>IFERROR(__xludf.DUMMYFUNCTION("GOOGLEFINANCE(B85,""closeyest"")"),484.85)</f>
        <v>484.85</v>
      </c>
      <c r="H85" s="117">
        <f>IFERROR(__xludf.DUMMYFUNCTION("GOOGLEFINANCE(B85,""LOW52"")"),287.55)</f>
        <v>287.55</v>
      </c>
      <c r="I85" s="117">
        <f>IFERROR(__xludf.DUMMYFUNCTION("GOOGLEFINANCE(B85,""HIGH52"")"),491.4)</f>
        <v>491.4</v>
      </c>
      <c r="J85" s="117">
        <f>IFERROR(__xludf.DUMMYFUNCTION("GOOGLEFINANCE(B85,""VOLUME"")"),5156374.0)</f>
        <v>5156374</v>
      </c>
      <c r="K85" s="117">
        <f>IFERROR(__xludf.DUMMYFUNCTION("GOOGLEFINANCE(B85,""marketcap"")"),1.006427535384E12)</f>
        <v>1006427535384</v>
      </c>
      <c r="L85" s="117">
        <f>IFERROR(__xludf.DUMMYFUNCTION("GOOGLEFINANCE(B85,""shares"")"),1.523822592E9)</f>
        <v>1523822592</v>
      </c>
      <c r="M85" s="117">
        <f>IFERROR(__xludf.DUMMYFUNCTION("GOOGLEFINANCE(B85,""EPS"")"),65.47)</f>
        <v>65.47</v>
      </c>
      <c r="N85" s="117">
        <f>IFERROR(__xludf.DUMMYFUNCTION("GOOGLEFINANCE(B85,""PE"")"),7.21)</f>
        <v>7.21</v>
      </c>
      <c r="O85" s="10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</row>
    <row r="86">
      <c r="A86" s="117">
        <v>83.0</v>
      </c>
      <c r="B86" s="6" t="s">
        <v>238</v>
      </c>
      <c r="C86" s="6"/>
      <c r="D86" s="6"/>
      <c r="E86" s="6"/>
      <c r="F86" s="117">
        <f>IFERROR(__xludf.DUMMYFUNCTION("GOOGLEFINANCE(B86,""price"")"),36280.0)</f>
        <v>36280</v>
      </c>
      <c r="G86" s="117">
        <f>IFERROR(__xludf.DUMMYFUNCTION("GOOGLEFINANCE(B86,""closeyest"")"),36745.0)</f>
        <v>36745</v>
      </c>
      <c r="H86" s="117">
        <f>IFERROR(__xludf.DUMMYFUNCTION("GOOGLEFINANCE(B86,""LOW52"")"),31025.0)</f>
        <v>31025</v>
      </c>
      <c r="I86" s="117">
        <f>IFERROR(__xludf.DUMMYFUNCTION("GOOGLEFINANCE(B86,""HIGH52"")"),45785.45)</f>
        <v>45785.45</v>
      </c>
      <c r="J86" s="117">
        <f>IFERROR(__xludf.DUMMYFUNCTION("GOOGLEFINANCE(B86,""VOLUME"")"),11235.0)</f>
        <v>11235</v>
      </c>
      <c r="K86" s="117">
        <f>IFERROR(__xludf.DUMMYFUNCTION("GOOGLEFINANCE(B86,""marketcap"")"),3.2077045444E11)</f>
        <v>320770454440</v>
      </c>
      <c r="L86" s="117">
        <f>IFERROR(__xludf.DUMMYFUNCTION("GOOGLEFINANCE(B86,""shares"")"),8841523.0)</f>
        <v>8841523</v>
      </c>
      <c r="M86" s="117">
        <f>IFERROR(__xludf.DUMMYFUNCTION("GOOGLEFINANCE(B86,""EPS"")"),578.8)</f>
        <v>578.8</v>
      </c>
      <c r="N86" s="117">
        <f>IFERROR(__xludf.DUMMYFUNCTION("GOOGLEFINANCE(B86,""PE"")"),62.68)</f>
        <v>62.68</v>
      </c>
      <c r="O86" s="10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</row>
    <row r="87">
      <c r="A87" s="117">
        <v>84.0</v>
      </c>
      <c r="B87" s="6" t="s">
        <v>239</v>
      </c>
      <c r="C87" s="6"/>
      <c r="D87" s="6"/>
      <c r="E87" s="6"/>
      <c r="F87" s="17" t="str">
        <f>IFERROR(__xludf.DUMMYFUNCTION("GOOGLEFINANCE(B87,""price"")"),"#N/A")</f>
        <v>#N/A</v>
      </c>
      <c r="G87" s="17" t="str">
        <f>IFERROR(__xludf.DUMMYFUNCTION("GOOGLEFINANCE(B87,""closeyest"")"),"#N/A")</f>
        <v>#N/A</v>
      </c>
      <c r="H87" s="17" t="str">
        <f>IFERROR(__xludf.DUMMYFUNCTION("GOOGLEFINANCE(B87,""LOW52"")"),"#N/A")</f>
        <v>#N/A</v>
      </c>
      <c r="I87" s="17" t="str">
        <f>IFERROR(__xludf.DUMMYFUNCTION("GOOGLEFINANCE(B87,""HIGH52"")"),"#N/A")</f>
        <v>#N/A</v>
      </c>
      <c r="J87" s="17" t="str">
        <f>IFERROR(__xludf.DUMMYFUNCTION("GOOGLEFINANCE(B87,""VOLUME"")"),"#N/A")</f>
        <v>#N/A</v>
      </c>
      <c r="K87" s="17" t="str">
        <f>IFERROR(__xludf.DUMMYFUNCTION("GOOGLEFINANCE(B87,""marketcap"")"),"#N/A")</f>
        <v>#N/A</v>
      </c>
      <c r="L87" s="17" t="str">
        <f>IFERROR(__xludf.DUMMYFUNCTION("GOOGLEFINANCE(B87,""shares"")"),"#N/A")</f>
        <v>#N/A</v>
      </c>
      <c r="M87" s="17" t="str">
        <f>IFERROR(__xludf.DUMMYFUNCTION("GOOGLEFINANCE(B87,""EPS"")"),"#N/A")</f>
        <v>#N/A</v>
      </c>
      <c r="N87" s="17" t="str">
        <f>IFERROR(__xludf.DUMMYFUNCTION("GOOGLEFINANCE(B87,""PE"")"),"#N/A")</f>
        <v>#N/A</v>
      </c>
      <c r="O87" s="10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</row>
    <row r="88">
      <c r="A88" s="117">
        <v>85.0</v>
      </c>
      <c r="B88" s="6" t="s">
        <v>240</v>
      </c>
      <c r="C88" s="6"/>
      <c r="D88" s="6"/>
      <c r="E88" s="6"/>
      <c r="F88" s="117">
        <f>IFERROR(__xludf.DUMMYFUNCTION("GOOGLEFINANCE(B88,""price"")"),1320.3)</f>
        <v>1320.3</v>
      </c>
      <c r="G88" s="117">
        <f>IFERROR(__xludf.DUMMYFUNCTION("GOOGLEFINANCE(B88,""closeyest"")"),1336.9)</f>
        <v>1336.9</v>
      </c>
      <c r="H88" s="117">
        <f>IFERROR(__xludf.DUMMYFUNCTION("GOOGLEFINANCE(B88,""LOW52"")"),1186.0)</f>
        <v>1186</v>
      </c>
      <c r="I88" s="117">
        <f>IFERROR(__xludf.DUMMYFUNCTION("GOOGLEFINANCE(B88,""HIGH52"")"),1500.0)</f>
        <v>1500</v>
      </c>
      <c r="J88" s="117">
        <f>IFERROR(__xludf.DUMMYFUNCTION("GOOGLEFINANCE(B88,""VOLUME"")"),2.4221853E7)</f>
        <v>24221853</v>
      </c>
      <c r="K88" s="117">
        <f>IFERROR(__xludf.DUMMYFUNCTION("GOOGLEFINANCE(B88,""marketcap"")"),9.413461874053E12)</f>
        <v>9413461874053</v>
      </c>
      <c r="L88" s="117">
        <f>IFERROR(__xludf.DUMMYFUNCTION("GOOGLEFINANCE(B88,""shares"")"),6.439910912E9)</f>
        <v>6439910912</v>
      </c>
      <c r="M88" s="117">
        <f>IFERROR(__xludf.DUMMYFUNCTION("GOOGLEFINANCE(B88,""EPS"")"),73.97)</f>
        <v>73.97</v>
      </c>
      <c r="N88" s="117">
        <f>IFERROR(__xludf.DUMMYFUNCTION("GOOGLEFINANCE(B88,""PE"")"),17.85)</f>
        <v>17.85</v>
      </c>
      <c r="O88" s="10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</row>
    <row r="89">
      <c r="A89" s="117">
        <v>86.0</v>
      </c>
      <c r="B89" s="6" t="s">
        <v>241</v>
      </c>
      <c r="C89" s="6"/>
      <c r="D89" s="6"/>
      <c r="E89" s="6"/>
      <c r="F89" s="117">
        <f>IFERROR(__xludf.DUMMYFUNCTION("GOOGLEFINANCE(B89,""price"")"),1998.3)</f>
        <v>1998.3</v>
      </c>
      <c r="G89" s="117">
        <f>IFERROR(__xludf.DUMMYFUNCTION("GOOGLEFINANCE(B89,""closeyest"")"),2040.0)</f>
        <v>2040</v>
      </c>
      <c r="H89" s="117">
        <f>IFERROR(__xludf.DUMMYFUNCTION("GOOGLEFINANCE(B89,""LOW52"")"),1613.7)</f>
        <v>1613.7</v>
      </c>
      <c r="I89" s="117">
        <f>IFERROR(__xludf.DUMMYFUNCTION("GOOGLEFINANCE(B89,""HIGH52"")"),2068.7)</f>
        <v>2068.7</v>
      </c>
      <c r="J89" s="117">
        <f>IFERROR(__xludf.DUMMYFUNCTION("GOOGLEFINANCE(B89,""VOLUME"")"),369731.0)</f>
        <v>369731</v>
      </c>
      <c r="K89" s="117">
        <f>IFERROR(__xludf.DUMMYFUNCTION("GOOGLEFINANCE(B89,""marketcap"")"),9.92313012283E11)</f>
        <v>992313012283</v>
      </c>
      <c r="L89" s="117">
        <f>IFERROR(__xludf.DUMMYFUNCTION("GOOGLEFINANCE(B89,""shares"")"),4.5406E8)</f>
        <v>454060000</v>
      </c>
      <c r="M89" s="117">
        <f>IFERROR(__xludf.DUMMYFUNCTION("GOOGLEFINANCE(B89,""EPS"")"),56.0)</f>
        <v>56</v>
      </c>
      <c r="N89" s="117">
        <f>IFERROR(__xludf.DUMMYFUNCTION("GOOGLEFINANCE(B89,""PE"")"),35.69)</f>
        <v>35.69</v>
      </c>
      <c r="O89" s="10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</row>
    <row r="90">
      <c r="A90" s="117">
        <v>87.0</v>
      </c>
      <c r="B90" s="6" t="s">
        <v>242</v>
      </c>
      <c r="C90" s="6"/>
      <c r="D90" s="6"/>
      <c r="E90" s="6"/>
      <c r="F90" s="117">
        <f>IFERROR(__xludf.DUMMYFUNCTION("GOOGLEFINANCE(B90,""price"")"),603.2)</f>
        <v>603.2</v>
      </c>
      <c r="G90" s="117">
        <f>IFERROR(__xludf.DUMMYFUNCTION("GOOGLEFINANCE(B90,""closeyest"")"),607.55)</f>
        <v>607.55</v>
      </c>
      <c r="H90" s="117">
        <f>IFERROR(__xludf.DUMMYFUNCTION("GOOGLEFINANCE(B90,""LOW52"")"),525.8)</f>
        <v>525.8</v>
      </c>
      <c r="I90" s="117">
        <f>IFERROR(__xludf.DUMMYFUNCTION("GOOGLEFINANCE(B90,""HIGH52"")"),733.9)</f>
        <v>733.9</v>
      </c>
      <c r="J90" s="117">
        <f>IFERROR(__xludf.DUMMYFUNCTION("GOOGLEFINANCE(B90,""VOLUME"")"),563718.0)</f>
        <v>563718</v>
      </c>
      <c r="K90" s="117">
        <f>IFERROR(__xludf.DUMMYFUNCTION("GOOGLEFINANCE(B90,""marketcap"")"),8.72785177662E11)</f>
        <v>872785177662</v>
      </c>
      <c r="L90" s="117">
        <f>IFERROR(__xludf.DUMMYFUNCTION("GOOGLEFINANCE(B90,""shares"")"),1.435784448E9)</f>
        <v>1435784448</v>
      </c>
      <c r="M90" s="117">
        <f>IFERROR(__xludf.DUMMYFUNCTION("GOOGLEFINANCE(B90,""EPS"")"),8.93)</f>
        <v>8.93</v>
      </c>
      <c r="N90" s="117">
        <f>IFERROR(__xludf.DUMMYFUNCTION("GOOGLEFINANCE(B90,""PE"")"),67.55)</f>
        <v>67.55</v>
      </c>
      <c r="O90" s="10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</row>
    <row r="91">
      <c r="A91" s="117">
        <v>88.0</v>
      </c>
      <c r="B91" s="6" t="s">
        <v>113</v>
      </c>
      <c r="C91" s="6"/>
      <c r="D91" s="6"/>
      <c r="E91" s="6"/>
      <c r="F91" s="117">
        <f>IFERROR(__xludf.DUMMYFUNCTION("GOOGLEFINANCE(B91,""price"")"),0.03)</f>
        <v>0.03</v>
      </c>
      <c r="G91" s="117">
        <f>IFERROR(__xludf.DUMMYFUNCTION("GOOGLEFINANCE(B91,""closeyest"")"),0.03)</f>
        <v>0.03</v>
      </c>
      <c r="H91" s="117">
        <f>IFERROR(__xludf.DUMMYFUNCTION("GOOGLEFINANCE(B91,""LOW52"")"),0.01)</f>
        <v>0.01</v>
      </c>
      <c r="I91" s="117">
        <f>IFERROR(__xludf.DUMMYFUNCTION("GOOGLEFINANCE(B91,""HIGH52"")"),0.05)</f>
        <v>0.05</v>
      </c>
      <c r="J91" s="117">
        <f>IFERROR(__xludf.DUMMYFUNCTION("GOOGLEFINANCE(B91,""VOLUME"")"),0.0)</f>
        <v>0</v>
      </c>
      <c r="K91" s="117">
        <f>IFERROR(__xludf.DUMMYFUNCTION("GOOGLEFINANCE(B91,""marketcap"")"),3000000.0)</f>
        <v>3000000</v>
      </c>
      <c r="L91" s="117">
        <f>IFERROR(__xludf.DUMMYFUNCTION("GOOGLEFINANCE(B91,""shares"")"),3.9787E7)</f>
        <v>39787000</v>
      </c>
      <c r="M91" s="17" t="str">
        <f>IFERROR(__xludf.DUMMYFUNCTION("GOOGLEFINANCE(B91,""EPS"")"),"#N/A")</f>
        <v>#N/A</v>
      </c>
      <c r="N91" s="17" t="str">
        <f>IFERROR(__xludf.DUMMYFUNCTION("GOOGLEFINANCE(B91,""PE"")"),"#N/A")</f>
        <v>#N/A</v>
      </c>
      <c r="O91" s="10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</row>
    <row r="92">
      <c r="A92" s="117">
        <v>89.0</v>
      </c>
      <c r="B92" s="6" t="s">
        <v>70</v>
      </c>
      <c r="C92" s="6"/>
      <c r="D92" s="6"/>
      <c r="E92" s="6"/>
      <c r="F92" s="17" t="str">
        <f>IFERROR(__xludf.DUMMYFUNCTION("GOOGLEFINANCE(B92,""price"")"),"#N/A")</f>
        <v>#N/A</v>
      </c>
      <c r="G92" s="17" t="str">
        <f>IFERROR(__xludf.DUMMYFUNCTION("GOOGLEFINANCE(B92,""closeyest"")"),"#N/A")</f>
        <v>#N/A</v>
      </c>
      <c r="H92" s="17" t="str">
        <f>IFERROR(__xludf.DUMMYFUNCTION("GOOGLEFINANCE(B92,""LOW52"")"),"#N/A")</f>
        <v>#N/A</v>
      </c>
      <c r="I92" s="17" t="str">
        <f>IFERROR(__xludf.DUMMYFUNCTION("GOOGLEFINANCE(B92,""HIGH52"")"),"#N/A")</f>
        <v>#N/A</v>
      </c>
      <c r="J92" s="17" t="str">
        <f>IFERROR(__xludf.DUMMYFUNCTION("GOOGLEFINANCE(B92,""VOLUME"")"),"#N/A")</f>
        <v>#N/A</v>
      </c>
      <c r="K92" s="17" t="str">
        <f>IFERROR(__xludf.DUMMYFUNCTION("GOOGLEFINANCE(B92,""marketcap"")"),"#N/A")</f>
        <v>#N/A</v>
      </c>
      <c r="L92" s="17" t="str">
        <f>IFERROR(__xludf.DUMMYFUNCTION("GOOGLEFINANCE(B92,""shares"")"),"#N/A")</f>
        <v>#N/A</v>
      </c>
      <c r="M92" s="17" t="str">
        <f>IFERROR(__xludf.DUMMYFUNCTION("GOOGLEFINANCE(B92,""EPS"")"),"#N/A")</f>
        <v>#N/A</v>
      </c>
      <c r="N92" s="17" t="str">
        <f>IFERROR(__xludf.DUMMYFUNCTION("GOOGLEFINANCE(B92,""PE"")"),"#N/A")</f>
        <v>#N/A</v>
      </c>
      <c r="O92" s="10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</row>
    <row r="93">
      <c r="A93" s="117">
        <v>90.0</v>
      </c>
      <c r="B93" s="6" t="s">
        <v>53</v>
      </c>
      <c r="C93" s="6"/>
      <c r="D93" s="6"/>
      <c r="E93" s="6"/>
      <c r="F93" s="117">
        <f>IFERROR(__xludf.DUMMYFUNCTION("GOOGLEFINANCE(B93,""price"")"),80.25)</f>
        <v>80.25</v>
      </c>
      <c r="G93" s="117">
        <f>IFERROR(__xludf.DUMMYFUNCTION("GOOGLEFINANCE(B93,""closeyest"")"),81.13)</f>
        <v>81.13</v>
      </c>
      <c r="H93" s="117">
        <f>IFERROR(__xludf.DUMMYFUNCTION("GOOGLEFINANCE(B93,""LOW52"")"),52.46)</f>
        <v>52.46</v>
      </c>
      <c r="I93" s="117">
        <f>IFERROR(__xludf.DUMMYFUNCTION("GOOGLEFINANCE(B93,""HIGH52"")"),82.7)</f>
        <v>82.7</v>
      </c>
      <c r="J93" s="117">
        <f>IFERROR(__xludf.DUMMYFUNCTION("GOOGLEFINANCE(B93,""VOLUME"")"),3.4775868E7)</f>
        <v>34775868</v>
      </c>
      <c r="K93" s="117">
        <f>IFERROR(__xludf.DUMMYFUNCTION("GOOGLEFINANCE(B93,""marketcap"")"),5.87834650672E11)</f>
        <v>587834650672</v>
      </c>
      <c r="L93" s="17" t="str">
        <f>IFERROR(__xludf.DUMMYFUNCTION("GOOGLEFINANCE(B93,""shares"")"),"#N/A")</f>
        <v>#N/A</v>
      </c>
      <c r="M93" s="117">
        <f>IFERROR(__xludf.DUMMYFUNCTION("GOOGLEFINANCE(B93,""EPS"")"),1.95)</f>
        <v>1.95</v>
      </c>
      <c r="N93" s="117">
        <f>IFERROR(__xludf.DUMMYFUNCTION("GOOGLEFINANCE(B93,""PE"")"),41.24)</f>
        <v>41.24</v>
      </c>
      <c r="O93" s="10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</row>
    <row r="94">
      <c r="A94" s="117">
        <v>91.0</v>
      </c>
      <c r="B94" s="6" t="s">
        <v>243</v>
      </c>
      <c r="C94" s="6"/>
      <c r="D94" s="6"/>
      <c r="E94" s="6"/>
      <c r="F94" s="117">
        <f>IFERROR(__xludf.DUMMYFUNCTION("GOOGLEFINANCE(B94,""price"")"),2.98)</f>
        <v>2.98</v>
      </c>
      <c r="G94" s="117">
        <f>IFERROR(__xludf.DUMMYFUNCTION("GOOGLEFINANCE(B94,""closeyest"")"),2.95)</f>
        <v>2.95</v>
      </c>
      <c r="H94" s="117">
        <f>IFERROR(__xludf.DUMMYFUNCTION("GOOGLEFINANCE(B94,""LOW52"")"),2.05)</f>
        <v>2.05</v>
      </c>
      <c r="I94" s="117">
        <f>IFERROR(__xludf.DUMMYFUNCTION("GOOGLEFINANCE(B94,""HIGH52"")"),3.22)</f>
        <v>3.22</v>
      </c>
      <c r="J94" s="117">
        <f>IFERROR(__xludf.DUMMYFUNCTION("GOOGLEFINANCE(B94,""VOLUME"")"),109089.0)</f>
        <v>109089</v>
      </c>
      <c r="K94" s="117">
        <f>IFERROR(__xludf.DUMMYFUNCTION("GOOGLEFINANCE(B94,""marketcap"")"),4.59233498E8)</f>
        <v>459233498</v>
      </c>
      <c r="L94" s="117">
        <f>IFERROR(__xludf.DUMMYFUNCTION("GOOGLEFINANCE(B94,""shares"")"),1.54105242E8)</f>
        <v>154105242</v>
      </c>
      <c r="M94" s="117">
        <f>IFERROR(__xludf.DUMMYFUNCTION("GOOGLEFINANCE(B94,""EPS"")"),0.3)</f>
        <v>0.3</v>
      </c>
      <c r="N94" s="117">
        <f>IFERROR(__xludf.DUMMYFUNCTION("GOOGLEFINANCE(B94,""PE"")"),9.97)</f>
        <v>9.97</v>
      </c>
      <c r="O94" s="10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</row>
    <row r="95">
      <c r="A95" s="117">
        <v>92.0</v>
      </c>
      <c r="B95" s="6" t="s">
        <v>73</v>
      </c>
      <c r="C95" s="6"/>
      <c r="D95" s="6"/>
      <c r="E95" s="6"/>
      <c r="F95" s="117">
        <f>IFERROR(__xludf.DUMMYFUNCTION("GOOGLEFINANCE(B95,""price"")"),697.0)</f>
        <v>697</v>
      </c>
      <c r="G95" s="117">
        <f>IFERROR(__xludf.DUMMYFUNCTION("GOOGLEFINANCE(B95,""closeyest"")"),743.2)</f>
        <v>743.2</v>
      </c>
      <c r="H95" s="117">
        <f>IFERROR(__xludf.DUMMYFUNCTION("GOOGLEFINANCE(B95,""LOW52"")"),669.0)</f>
        <v>669</v>
      </c>
      <c r="I95" s="117">
        <f>IFERROR(__xludf.DUMMYFUNCTION("GOOGLEFINANCE(B95,""HIGH52"")"),894.9)</f>
        <v>894.9</v>
      </c>
      <c r="J95" s="117">
        <f>IFERROR(__xludf.DUMMYFUNCTION("GOOGLEFINANCE(B95,""VOLUME"")"),1.2158028E7)</f>
        <v>12158028</v>
      </c>
      <c r="K95" s="117">
        <f>IFERROR(__xludf.DUMMYFUNCTION("GOOGLEFINANCE(B95,""marketcap"")"),9.92770217916E11)</f>
        <v>992770217916</v>
      </c>
      <c r="L95" s="117">
        <f>IFERROR(__xludf.DUMMYFUNCTION("GOOGLEFINANCE(B95,""shares"")"),1.189299968E9)</f>
        <v>1189299968</v>
      </c>
      <c r="M95" s="117">
        <f>IFERROR(__xludf.DUMMYFUNCTION("GOOGLEFINANCE(B95,""EPS"")"),11.84)</f>
        <v>11.84</v>
      </c>
      <c r="N95" s="117">
        <f>IFERROR(__xludf.DUMMYFUNCTION("GOOGLEFINANCE(B95,""PE"")"),58.86)</f>
        <v>58.86</v>
      </c>
      <c r="O95" s="10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</row>
    <row r="96">
      <c r="A96" s="117">
        <v>93.0</v>
      </c>
      <c r="B96" s="6" t="s">
        <v>244</v>
      </c>
      <c r="C96" s="6"/>
      <c r="D96" s="6"/>
      <c r="E96" s="6"/>
      <c r="F96" s="117">
        <f>IFERROR(__xludf.DUMMYFUNCTION("GOOGLEFINANCE(B96,""price"")"),388.05)</f>
        <v>388.05</v>
      </c>
      <c r="G96" s="117">
        <f>IFERROR(__xludf.DUMMYFUNCTION("GOOGLEFINANCE(B96,""closeyest"")"),398.2)</f>
        <v>398.2</v>
      </c>
      <c r="H96" s="117">
        <f>IFERROR(__xludf.DUMMYFUNCTION("GOOGLEFINANCE(B96,""LOW52"")"),238.85)</f>
        <v>238.85</v>
      </c>
      <c r="I96" s="117">
        <f>IFERROR(__xludf.DUMMYFUNCTION("GOOGLEFINANCE(B96,""HIGH52"")"),430.45)</f>
        <v>430.45</v>
      </c>
      <c r="J96" s="117">
        <f>IFERROR(__xludf.DUMMYFUNCTION("GOOGLEFINANCE(B96,""VOLUME"")"),215009.0)</f>
        <v>215009</v>
      </c>
      <c r="K96" s="117">
        <f>IFERROR(__xludf.DUMMYFUNCTION("GOOGLEFINANCE(B96,""marketcap"")"),1.20434617432E11)</f>
        <v>120434617432</v>
      </c>
      <c r="L96" s="117">
        <f>IFERROR(__xludf.DUMMYFUNCTION("GOOGLEFINANCE(B96,""shares"")"),3.09662208E8)</f>
        <v>309662208</v>
      </c>
      <c r="M96" s="117">
        <f>IFERROR(__xludf.DUMMYFUNCTION("GOOGLEFINANCE(B96,""EPS"")"),0.49)</f>
        <v>0.49</v>
      </c>
      <c r="N96" s="17">
        <f>IFERROR(__xludf.DUMMYFUNCTION("GOOGLEFINANCE(B96,""PE"")"),791.58)</f>
        <v>791.58</v>
      </c>
      <c r="O96" s="10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</row>
    <row r="97">
      <c r="A97" s="117">
        <v>94.0</v>
      </c>
      <c r="B97" s="6" t="s">
        <v>245</v>
      </c>
      <c r="C97" s="6"/>
      <c r="D97" s="6"/>
      <c r="E97" s="6"/>
      <c r="F97" s="117">
        <f>IFERROR(__xludf.DUMMYFUNCTION("GOOGLEFINANCE(B97,""price"")"),2470.0)</f>
        <v>2470</v>
      </c>
      <c r="G97" s="117">
        <f>IFERROR(__xludf.DUMMYFUNCTION("GOOGLEFINANCE(B97,""closeyest"")"),2468.2)</f>
        <v>2468.2</v>
      </c>
      <c r="H97" s="117">
        <f>IFERROR(__xludf.DUMMYFUNCTION("GOOGLEFINANCE(B97,""LOW52"")"),1900.1)</f>
        <v>1900.1</v>
      </c>
      <c r="I97" s="117">
        <f>IFERROR(__xludf.DUMMYFUNCTION("GOOGLEFINANCE(B97,""HIGH52"")"),2799.0)</f>
        <v>2799</v>
      </c>
      <c r="J97" s="117">
        <f>IFERROR(__xludf.DUMMYFUNCTION("GOOGLEFINANCE(B97,""VOLUME"")"),114451.0)</f>
        <v>114451</v>
      </c>
      <c r="K97" s="117">
        <f>IFERROR(__xludf.DUMMYFUNCTION("GOOGLEFINANCE(B97,""marketcap"")"),1.482415948E11)</f>
        <v>148241594800</v>
      </c>
      <c r="L97" s="17" t="str">
        <f>IFERROR(__xludf.DUMMYFUNCTION("GOOGLEFINANCE(B97,""shares"")"),"#N/A")</f>
        <v>#N/A</v>
      </c>
      <c r="M97" s="117">
        <f>IFERROR(__xludf.DUMMYFUNCTION("GOOGLEFINANCE(B97,""EPS"")"),89.39)</f>
        <v>89.39</v>
      </c>
      <c r="N97" s="117">
        <f>IFERROR(__xludf.DUMMYFUNCTION("GOOGLEFINANCE(B97,""PE"")"),27.63)</f>
        <v>27.63</v>
      </c>
      <c r="O97" s="10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</row>
    <row r="98">
      <c r="A98" s="117">
        <v>95.0</v>
      </c>
      <c r="B98" s="6" t="s">
        <v>246</v>
      </c>
      <c r="C98" s="6"/>
      <c r="D98" s="6"/>
      <c r="E98" s="6"/>
      <c r="F98" s="117">
        <f>IFERROR(__xludf.DUMMYFUNCTION("GOOGLEFINANCE(B98,""price"")"),5684.0)</f>
        <v>5684</v>
      </c>
      <c r="G98" s="117">
        <f>IFERROR(__xludf.DUMMYFUNCTION("GOOGLEFINANCE(B98,""closeyest"")"),5637.0)</f>
        <v>5637</v>
      </c>
      <c r="H98" s="117">
        <f>IFERROR(__xludf.DUMMYFUNCTION("GOOGLEFINANCE(B98,""LOW52"")"),3830.0)</f>
        <v>3830</v>
      </c>
      <c r="I98" s="117">
        <f>IFERROR(__xludf.DUMMYFUNCTION("GOOGLEFINANCE(B98,""HIGH52"")"),6232.5)</f>
        <v>6232.5</v>
      </c>
      <c r="J98" s="117">
        <f>IFERROR(__xludf.DUMMYFUNCTION("GOOGLEFINANCE(B98,""VOLUME"")"),2249415.0)</f>
        <v>2249415</v>
      </c>
      <c r="K98" s="117">
        <f>IFERROR(__xludf.DUMMYFUNCTION("GOOGLEFINANCE(B98,""marketcap"")"),2.198798758393E12)</f>
        <v>2198798758393</v>
      </c>
      <c r="L98" s="117">
        <f>IFERROR(__xludf.DUMMYFUNCTION("GOOGLEFINANCE(B98,""shares"")"),3.84406848E8)</f>
        <v>384406848</v>
      </c>
      <c r="M98" s="117">
        <f>IFERROR(__xludf.DUMMYFUNCTION("GOOGLEFINANCE(B98,""EPS"")"),173.26)</f>
        <v>173.26</v>
      </c>
      <c r="N98" s="117">
        <f>IFERROR(__xludf.DUMMYFUNCTION("GOOGLEFINANCE(B98,""PE"")"),32.81)</f>
        <v>32.81</v>
      </c>
      <c r="O98" s="10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</row>
    <row r="99">
      <c r="A99" s="117">
        <v>96.0</v>
      </c>
      <c r="B99" s="6" t="s">
        <v>247</v>
      </c>
      <c r="C99" s="6"/>
      <c r="D99" s="6"/>
      <c r="E99" s="6"/>
      <c r="F99" s="117">
        <f>IFERROR(__xludf.DUMMYFUNCTION("GOOGLEFINANCE(B99,""price"")"),786.55)</f>
        <v>786.55</v>
      </c>
      <c r="G99" s="117">
        <f>IFERROR(__xludf.DUMMYFUNCTION("GOOGLEFINANCE(B99,""closeyest"")"),790.2)</f>
        <v>790.2</v>
      </c>
      <c r="H99" s="117">
        <f>IFERROR(__xludf.DUMMYFUNCTION("GOOGLEFINANCE(B99,""LOW52"")"),606.0)</f>
        <v>606</v>
      </c>
      <c r="I99" s="117">
        <f>IFERROR(__xludf.DUMMYFUNCTION("GOOGLEFINANCE(B99,""HIGH52"")"),1098.6)</f>
        <v>1098.6</v>
      </c>
      <c r="J99" s="117">
        <f>IFERROR(__xludf.DUMMYFUNCTION("GOOGLEFINANCE(B99,""VOLUME"")"),2640541.0)</f>
        <v>2640541</v>
      </c>
      <c r="K99" s="117">
        <f>IFERROR(__xludf.DUMMYFUNCTION("GOOGLEFINANCE(B99,""marketcap"")"),6.12782139634E11)</f>
        <v>612782139634</v>
      </c>
      <c r="L99" s="117">
        <f>IFERROR(__xludf.DUMMYFUNCTION("GOOGLEFINANCE(B99,""shares"")"),6.01752832E8)</f>
        <v>601752832</v>
      </c>
      <c r="M99" s="117">
        <f>IFERROR(__xludf.DUMMYFUNCTION("GOOGLEFINANCE(B99,""EPS"")"),-9.75)</f>
        <v>-9.75</v>
      </c>
      <c r="N99" s="117" t="str">
        <f>IFERROR(__xludf.DUMMYFUNCTION("GOOGLEFINANCE(B99,""PE"")"),"#N/A")</f>
        <v>#N/A</v>
      </c>
      <c r="O99" s="10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</row>
    <row r="100">
      <c r="A100" s="117">
        <v>97.0</v>
      </c>
      <c r="B100" s="6" t="s">
        <v>248</v>
      </c>
      <c r="C100" s="6"/>
      <c r="D100" s="6"/>
      <c r="E100" s="6"/>
      <c r="F100" s="117">
        <f>IFERROR(__xludf.DUMMYFUNCTION("GOOGLEFINANCE(B100,""price"")"),399.0)</f>
        <v>399</v>
      </c>
      <c r="G100" s="117">
        <f>IFERROR(__xludf.DUMMYFUNCTION("GOOGLEFINANCE(B100,""closeyest"")"),392.55)</f>
        <v>392.55</v>
      </c>
      <c r="H100" s="117">
        <f>IFERROR(__xludf.DUMMYFUNCTION("GOOGLEFINANCE(B100,""LOW52"")"),312.55)</f>
        <v>312.55</v>
      </c>
      <c r="I100" s="117">
        <f>IFERROR(__xludf.DUMMYFUNCTION("GOOGLEFINANCE(B100,""HIGH52"")"),430.0)</f>
        <v>430</v>
      </c>
      <c r="J100" s="117">
        <f>IFERROR(__xludf.DUMMYFUNCTION("GOOGLEFINANCE(B100,""VOLUME"")"),1.4237144E7)</f>
        <v>14237144</v>
      </c>
      <c r="K100" s="117">
        <f>IFERROR(__xludf.DUMMYFUNCTION("GOOGLEFINANCE(B100,""marketcap"")"),1.050269863E12)</f>
        <v>1050269863000</v>
      </c>
      <c r="L100" s="117">
        <f>IFERROR(__xludf.DUMMYFUNCTION("GOOGLEFINANCE(B100,""shares"")"),1.849608192E9)</f>
        <v>1849608192</v>
      </c>
      <c r="M100" s="117">
        <f>IFERROR(__xludf.DUMMYFUNCTION("GOOGLEFINANCE(B100,""EPS"")"),15.6)</f>
        <v>15.6</v>
      </c>
      <c r="N100" s="117">
        <f>IFERROR(__xludf.DUMMYFUNCTION("GOOGLEFINANCE(B100,""PE"")"),15.51)</f>
        <v>15.51</v>
      </c>
      <c r="O100" s="10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</row>
    <row r="101">
      <c r="A101" s="117">
        <v>98.0</v>
      </c>
      <c r="B101" s="6" t="s">
        <v>20</v>
      </c>
      <c r="C101" s="6"/>
      <c r="D101" s="6"/>
      <c r="E101" s="6"/>
      <c r="F101" s="117">
        <f>IFERROR(__xludf.DUMMYFUNCTION("GOOGLEFINANCE(B101,""price"")"),16.42)</f>
        <v>16.42</v>
      </c>
      <c r="G101" s="117">
        <f>IFERROR(__xludf.DUMMYFUNCTION("GOOGLEFINANCE(B101,""closeyest"")"),16.3)</f>
        <v>16.3</v>
      </c>
      <c r="H101" s="117">
        <f>IFERROR(__xludf.DUMMYFUNCTION("GOOGLEFINANCE(B101,""LOW52"")"),15.82)</f>
        <v>15.82</v>
      </c>
      <c r="I101" s="117">
        <f>IFERROR(__xludf.DUMMYFUNCTION("GOOGLEFINANCE(B101,""HIGH52"")"),23.63)</f>
        <v>23.63</v>
      </c>
      <c r="J101" s="117">
        <f>IFERROR(__xludf.DUMMYFUNCTION("GOOGLEFINANCE(B101,""VOLUME"")"),2647.0)</f>
        <v>2647</v>
      </c>
      <c r="K101" s="117">
        <f>IFERROR(__xludf.DUMMYFUNCTION("GOOGLEFINANCE(B101,""marketcap"")"),6.076568145E12)</f>
        <v>6076568145000</v>
      </c>
      <c r="L101" s="117">
        <f>IFERROR(__xludf.DUMMYFUNCTION("GOOGLEFINANCE(B101,""shares"")"),4.154401E9)</f>
        <v>4154401000</v>
      </c>
      <c r="M101" s="117">
        <f>IFERROR(__xludf.DUMMYFUNCTION("GOOGLEFINANCE(B101,""EPS"")"),0.76)</f>
        <v>0.76</v>
      </c>
      <c r="N101" s="117">
        <f>IFERROR(__xludf.DUMMYFUNCTION("GOOGLEFINANCE(B101,""PE"")"),21.51)</f>
        <v>21.51</v>
      </c>
      <c r="O101" s="10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</row>
    <row r="102">
      <c r="A102" s="117">
        <v>99.0</v>
      </c>
      <c r="B102" s="6" t="s">
        <v>249</v>
      </c>
      <c r="C102" s="6"/>
      <c r="D102" s="6"/>
      <c r="E102" s="6"/>
      <c r="F102" s="117">
        <f>IFERROR(__xludf.DUMMYFUNCTION("GOOGLEFINANCE(B102,""price"")"),54.32)</f>
        <v>54.32</v>
      </c>
      <c r="G102" s="117">
        <f>IFERROR(__xludf.DUMMYFUNCTION("GOOGLEFINANCE(B102,""closeyest"")"),52.32)</f>
        <v>52.32</v>
      </c>
      <c r="H102" s="117">
        <f>IFERROR(__xludf.DUMMYFUNCTION("GOOGLEFINANCE(B102,""LOW52"")"),36.38)</f>
        <v>36.38</v>
      </c>
      <c r="I102" s="117">
        <f>IFERROR(__xludf.DUMMYFUNCTION("GOOGLEFINANCE(B102,""HIGH52"")"),54.32)</f>
        <v>54.32</v>
      </c>
      <c r="J102" s="117">
        <f>IFERROR(__xludf.DUMMYFUNCTION("GOOGLEFINANCE(B102,""VOLUME"")"),294.0)</f>
        <v>294</v>
      </c>
      <c r="K102" s="117">
        <f>IFERROR(__xludf.DUMMYFUNCTION("GOOGLEFINANCE(B102,""marketcap"")"),1.5127765505E13)</f>
        <v>15127765505000</v>
      </c>
      <c r="L102" s="17" t="str">
        <f>IFERROR(__xludf.DUMMYFUNCTION("GOOGLEFINANCE(B102,""shares"")"),"#N/A")</f>
        <v>#N/A</v>
      </c>
      <c r="M102" s="17" t="str">
        <f>IFERROR(__xludf.DUMMYFUNCTION("GOOGLEFINANCE(B102,""EPS"")"),"#N/A")</f>
        <v>#N/A</v>
      </c>
      <c r="N102" s="17" t="str">
        <f>IFERROR(__xludf.DUMMYFUNCTION("GOOGLEFINANCE(B102,""PE"")"),"#N/A")</f>
        <v>#N/A</v>
      </c>
      <c r="O102" s="10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</row>
    <row r="103">
      <c r="A103" s="117">
        <v>100.0</v>
      </c>
      <c r="B103" s="6" t="s">
        <v>250</v>
      </c>
      <c r="C103" s="6"/>
      <c r="D103" s="6"/>
      <c r="E103" s="6"/>
      <c r="F103" s="117">
        <f>IFERROR(__xludf.DUMMYFUNCTION("GOOGLEFINANCE(B103,""price"")"),1300.0)</f>
        <v>1300</v>
      </c>
      <c r="G103" s="117">
        <f>IFERROR(__xludf.DUMMYFUNCTION("GOOGLEFINANCE(B103,""closeyest"")"),1294.8)</f>
        <v>1294.8</v>
      </c>
      <c r="H103" s="117">
        <f>IFERROR(__xludf.DUMMYFUNCTION("GOOGLEFINANCE(B103,""LOW52"")"),1168.2)</f>
        <v>1168.2</v>
      </c>
      <c r="I103" s="117">
        <f>IFERROR(__xludf.DUMMYFUNCTION("GOOGLEFINANCE(B103,""HIGH52"")"),1755.9)</f>
        <v>1755.9</v>
      </c>
      <c r="J103" s="117">
        <f>IFERROR(__xludf.DUMMYFUNCTION("GOOGLEFINANCE(B103,""VOLUME"")"),226767.0)</f>
        <v>226767</v>
      </c>
      <c r="K103" s="117">
        <f>IFERROR(__xludf.DUMMYFUNCTION("GOOGLEFINANCE(B103,""marketcap"")"),3.2981546E11)</f>
        <v>329815460000</v>
      </c>
      <c r="L103" s="117">
        <f>IFERROR(__xludf.DUMMYFUNCTION("GOOGLEFINANCE(B103,""shares"")"),1.26352112E8)</f>
        <v>126352112</v>
      </c>
      <c r="M103" s="117">
        <f>IFERROR(__xludf.DUMMYFUNCTION("GOOGLEFINANCE(B103,""EPS"")"),30.69)</f>
        <v>30.69</v>
      </c>
      <c r="N103" s="117">
        <f>IFERROR(__xludf.DUMMYFUNCTION("GOOGLEFINANCE(B103,""PE"")"),42.35)</f>
        <v>42.35</v>
      </c>
      <c r="O103" s="10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</row>
    <row r="104">
      <c r="A104" s="117">
        <v>101.0</v>
      </c>
      <c r="B104" s="6" t="s">
        <v>251</v>
      </c>
      <c r="C104" s="6"/>
      <c r="D104" s="6"/>
      <c r="E104" s="6"/>
      <c r="F104" s="117">
        <f>IFERROR(__xludf.DUMMYFUNCTION("GOOGLEFINANCE(B104,""price"")"),703.45)</f>
        <v>703.45</v>
      </c>
      <c r="G104" s="117">
        <f>IFERROR(__xludf.DUMMYFUNCTION("GOOGLEFINANCE(B104,""closeyest"")"),718.5)</f>
        <v>718.5</v>
      </c>
      <c r="H104" s="117">
        <f>IFERROR(__xludf.DUMMYFUNCTION("GOOGLEFINANCE(B104,""LOW52"")"),656.0)</f>
        <v>656</v>
      </c>
      <c r="I104" s="117">
        <f>IFERROR(__xludf.DUMMYFUNCTION("GOOGLEFINANCE(B104,""HIGH52"")"),863.3)</f>
        <v>863.3</v>
      </c>
      <c r="J104" s="117">
        <f>IFERROR(__xludf.DUMMYFUNCTION("GOOGLEFINANCE(B104,""VOLUME"")"),501782.0)</f>
        <v>501782</v>
      </c>
      <c r="K104" s="117">
        <f>IFERROR(__xludf.DUMMYFUNCTION("GOOGLEFINANCE(B104,""marketcap"")"),5.62572375866E11)</f>
        <v>562572375866</v>
      </c>
      <c r="L104" s="17" t="str">
        <f>IFERROR(__xludf.DUMMYFUNCTION("GOOGLEFINANCE(B104,""shares"")"),"#N/A")</f>
        <v>#N/A</v>
      </c>
      <c r="M104" s="117">
        <f>IFERROR(__xludf.DUMMYFUNCTION("GOOGLEFINANCE(B104,""EPS"")"),16.72)</f>
        <v>16.72</v>
      </c>
      <c r="N104" s="117">
        <f>IFERROR(__xludf.DUMMYFUNCTION("GOOGLEFINANCE(B104,""PE"")"),42.08)</f>
        <v>42.08</v>
      </c>
      <c r="O104" s="10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</row>
    <row r="105">
      <c r="A105" s="124">
        <v>102.0</v>
      </c>
      <c r="B105" s="59" t="s">
        <v>66</v>
      </c>
      <c r="C105" s="6"/>
      <c r="D105" s="6"/>
      <c r="E105" s="6"/>
      <c r="F105" s="124">
        <f>IFERROR(__xludf.DUMMYFUNCTION("GOOGLEFINANCE(""NSE:ITC"",""price"")"),408.5)</f>
        <v>408.5</v>
      </c>
      <c r="G105" s="125" t="str">
        <f>GOOGLEFINANCE("NSE:ITC,"closeyest")")</f>
        <v>#ERROR!</v>
      </c>
      <c r="H105" s="125" t="str">
        <f>GOOGLEFINANCE("NSE:ITC,"LOW52")")</f>
        <v>#ERROR!</v>
      </c>
      <c r="I105" s="125" t="str">
        <f>GOOGLEFINANCE("NSE:ITC,"HIGH52")")</f>
        <v>#ERROR!</v>
      </c>
      <c r="J105" s="125" t="str">
        <f>IFERROR(__xludf.DUMMYFUNCTION("GOOGLEFINANCE(B105,""VOLUME"")"),"#N/A")</f>
        <v>#N/A</v>
      </c>
      <c r="K105" s="125" t="str">
        <f>GOOGLEFINANCE("NSE:ITC,"marketcap")")</f>
        <v>#ERROR!</v>
      </c>
      <c r="L105" s="125" t="str">
        <f>GOOGLEFINANCE("NSE:ITC,"SHARE")")</f>
        <v>#ERROR!</v>
      </c>
      <c r="M105" s="125" t="str">
        <f>IFERROR(__xludf.DUMMYFUNCTION("GOOGLEFINANCE(B105,""EPS"")"),"#N/A")</f>
        <v>#N/A</v>
      </c>
      <c r="N105" s="125" t="str">
        <f>IFERROR(__xludf.DUMMYFUNCTION("GOOGLEFINANCE(B105,""PE"")"),"#N/A")</f>
        <v>#N/A</v>
      </c>
      <c r="O105" s="10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</row>
    <row r="106">
      <c r="A106" s="117">
        <v>103.0</v>
      </c>
      <c r="B106" s="6" t="s">
        <v>252</v>
      </c>
      <c r="C106" s="6"/>
      <c r="D106" s="6"/>
      <c r="E106" s="6"/>
      <c r="F106" s="117">
        <f>IFERROR(__xludf.DUMMYFUNCTION("GOOGLEFINANCE(B106,""price"")"),1048.0)</f>
        <v>1048</v>
      </c>
      <c r="G106" s="117">
        <f>IFERROR(__xludf.DUMMYFUNCTION("GOOGLEFINANCE(B106,""closeyest"")"),1080.7)</f>
        <v>1080.7</v>
      </c>
      <c r="H106" s="117">
        <f>IFERROR(__xludf.DUMMYFUNCTION("GOOGLEFINANCE(B106,""LOW52"")"),723.35)</f>
        <v>723.35</v>
      </c>
      <c r="I106" s="117">
        <f>IFERROR(__xludf.DUMMYFUNCTION("GOOGLEFINANCE(B106,""HIGH52"")"),1097.7)</f>
        <v>1097.7</v>
      </c>
      <c r="J106" s="117">
        <f>IFERROR(__xludf.DUMMYFUNCTION("GOOGLEFINANCE(B106,""VOLUME"")"),1497966.0)</f>
        <v>1497966</v>
      </c>
      <c r="K106" s="117">
        <f>IFERROR(__xludf.DUMMYFUNCTION("GOOGLEFINANCE(B106,""marketcap"")"),1.066326376E12)</f>
        <v>1066326376000</v>
      </c>
      <c r="L106" s="117">
        <f>IFERROR(__xludf.DUMMYFUNCTION("GOOGLEFINANCE(B106,""shares"")"),9.67946368E8)</f>
        <v>967946368</v>
      </c>
      <c r="M106" s="117">
        <f>IFERROR(__xludf.DUMMYFUNCTION("GOOGLEFINANCE(B106,""EPS"")"),27.17)</f>
        <v>27.17</v>
      </c>
      <c r="N106" s="117">
        <f>IFERROR(__xludf.DUMMYFUNCTION("GOOGLEFINANCE(B106,""PE"")"),38.58)</f>
        <v>38.58</v>
      </c>
      <c r="O106" s="10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</row>
    <row r="107">
      <c r="A107" s="117">
        <v>104.0</v>
      </c>
      <c r="B107" s="6" t="s">
        <v>253</v>
      </c>
      <c r="C107" s="6"/>
      <c r="D107" s="6"/>
      <c r="E107" s="6"/>
      <c r="F107" s="117">
        <f>IFERROR(__xludf.DUMMYFUNCTION("GOOGLEFINANCE(B107,""price"")"),5691.0)</f>
        <v>5691</v>
      </c>
      <c r="G107" s="117">
        <f>IFERROR(__xludf.DUMMYFUNCTION("GOOGLEFINANCE(B107,""closeyest"")"),5775.5)</f>
        <v>5775.5</v>
      </c>
      <c r="H107" s="117">
        <f>IFERROR(__xludf.DUMMYFUNCTION("GOOGLEFINANCE(B107,""LOW52"")"),3891.45)</f>
        <v>3891.45</v>
      </c>
      <c r="I107" s="117">
        <f>IFERROR(__xludf.DUMMYFUNCTION("GOOGLEFINANCE(B107,""HIGH52"")"),7565.5)</f>
        <v>7565.5</v>
      </c>
      <c r="J107" s="117">
        <f>IFERROR(__xludf.DUMMYFUNCTION("GOOGLEFINANCE(B107,""VOLUME"")"),131253.0)</f>
        <v>131253</v>
      </c>
      <c r="K107" s="117">
        <f>IFERROR(__xludf.DUMMYFUNCTION("GOOGLEFINANCE(B107,""marketcap"")"),4.4320967462E11)</f>
        <v>443209674620</v>
      </c>
      <c r="L107" s="117">
        <f>IFERROR(__xludf.DUMMYFUNCTION("GOOGLEFINANCE(B107,""shares"")"),6.9927248E7)</f>
        <v>69927248</v>
      </c>
      <c r="M107" s="117">
        <f>IFERROR(__xludf.DUMMYFUNCTION("GOOGLEFINANCE(B107,""EPS"")"),133.87)</f>
        <v>133.87</v>
      </c>
      <c r="N107" s="117">
        <f>IFERROR(__xludf.DUMMYFUNCTION("GOOGLEFINANCE(B107,""PE"")"),42.51)</f>
        <v>42.51</v>
      </c>
      <c r="O107" s="10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</row>
    <row r="108">
      <c r="A108" s="117">
        <v>105.0</v>
      </c>
      <c r="B108" s="6" t="s">
        <v>254</v>
      </c>
      <c r="C108" s="6"/>
      <c r="D108" s="6"/>
      <c r="E108" s="6"/>
      <c r="F108" s="117">
        <f>IFERROR(__xludf.DUMMYFUNCTION("GOOGLEFINANCE(B108,""price"")"),1169.7)</f>
        <v>1169.7</v>
      </c>
      <c r="G108" s="117">
        <f>IFERROR(__xludf.DUMMYFUNCTION("GOOGLEFINANCE(B108,""closeyest"")"),1181.4)</f>
        <v>1181.4</v>
      </c>
      <c r="H108" s="117">
        <f>IFERROR(__xludf.DUMMYFUNCTION("GOOGLEFINANCE(B108,""LOW52"")"),880.0)</f>
        <v>880</v>
      </c>
      <c r="I108" s="117">
        <f>IFERROR(__xludf.DUMMYFUNCTION("GOOGLEFINANCE(B108,""HIGH52"")"),1223.9)</f>
        <v>1223.9</v>
      </c>
      <c r="J108" s="117">
        <f>IFERROR(__xludf.DUMMYFUNCTION("GOOGLEFINANCE(B108,""VOLUME"")"),1304994.0)</f>
        <v>1304994</v>
      </c>
      <c r="K108" s="117">
        <f>IFERROR(__xludf.DUMMYFUNCTION("GOOGLEFINANCE(B108,""marketcap"")"),2.857047106635E12)</f>
        <v>2857047106635</v>
      </c>
      <c r="L108" s="117">
        <f>IFERROR(__xludf.DUMMYFUNCTION("GOOGLEFINANCE(B108,""shares"")"),0.0)</f>
        <v>0</v>
      </c>
      <c r="M108" s="117">
        <f>IFERROR(__xludf.DUMMYFUNCTION("GOOGLEFINANCE(B108,""EPS"")"),24.63)</f>
        <v>24.63</v>
      </c>
      <c r="N108" s="117">
        <f>IFERROR(__xludf.DUMMYFUNCTION("GOOGLEFINANCE(B108,""PE"")"),47.49)</f>
        <v>47.49</v>
      </c>
      <c r="O108" s="10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</row>
    <row r="109">
      <c r="A109" s="117">
        <v>106.0</v>
      </c>
      <c r="B109" s="6" t="s">
        <v>255</v>
      </c>
      <c r="C109" s="6"/>
      <c r="D109" s="6"/>
      <c r="E109" s="6"/>
      <c r="F109" s="117">
        <f>IFERROR(__xludf.DUMMYFUNCTION("GOOGLEFINANCE(B109,""price"")"),582.25)</f>
        <v>582.25</v>
      </c>
      <c r="G109" s="117">
        <f>IFERROR(__xludf.DUMMYFUNCTION("GOOGLEFINANCE(B109,""closeyest"")"),593.45)</f>
        <v>593.45</v>
      </c>
      <c r="H109" s="117">
        <f>IFERROR(__xludf.DUMMYFUNCTION("GOOGLEFINANCE(B109,""LOW52"")"),575.05)</f>
        <v>575.05</v>
      </c>
      <c r="I109" s="117">
        <f>IFERROR(__xludf.DUMMYFUNCTION("GOOGLEFINANCE(B109,""HIGH52"")"),796.75)</f>
        <v>796.75</v>
      </c>
      <c r="J109" s="117">
        <f>IFERROR(__xludf.DUMMYFUNCTION("GOOGLEFINANCE(B109,""VOLUME"")"),950388.0)</f>
        <v>950388</v>
      </c>
      <c r="K109" s="117">
        <f>IFERROR(__xludf.DUMMYFUNCTION("GOOGLEFINANCE(B109,""marketcap"")"),3.84369768819E11)</f>
        <v>384369768819</v>
      </c>
      <c r="L109" s="117">
        <f>IFERROR(__xludf.DUMMYFUNCTION("GOOGLEFINANCE(B109,""shares"")"),1.3196904E8)</f>
        <v>131969040</v>
      </c>
      <c r="M109" s="117">
        <f>IFERROR(__xludf.DUMMYFUNCTION("GOOGLEFINANCE(B109,""EPS"")"),3.73)</f>
        <v>3.73</v>
      </c>
      <c r="N109" s="117">
        <f>IFERROR(__xludf.DUMMYFUNCTION("GOOGLEFINANCE(B109,""PE"")"),155.91)</f>
        <v>155.91</v>
      </c>
      <c r="O109" s="10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</row>
    <row r="110">
      <c r="A110" s="117">
        <v>107.0</v>
      </c>
      <c r="B110" s="6" t="s">
        <v>256</v>
      </c>
      <c r="C110" s="6"/>
      <c r="D110" s="6"/>
      <c r="E110" s="6"/>
      <c r="F110" s="117">
        <f>IFERROR(__xludf.DUMMYFUNCTION("GOOGLEFINANCE(B110,""price"")"),2080.0)</f>
        <v>2080</v>
      </c>
      <c r="G110" s="117">
        <f>IFERROR(__xludf.DUMMYFUNCTION("GOOGLEFINANCE(B110,""closeyest"")"),2096.6)</f>
        <v>2096.6</v>
      </c>
      <c r="H110" s="117">
        <f>IFERROR(__xludf.DUMMYFUNCTION("GOOGLEFINANCE(B110,""LOW52"")"),1679.05)</f>
        <v>1679.05</v>
      </c>
      <c r="I110" s="117">
        <f>IFERROR(__xludf.DUMMYFUNCTION("GOOGLEFINANCE(B110,""HIGH52"")"),2301.9)</f>
        <v>2301.9</v>
      </c>
      <c r="J110" s="117">
        <f>IFERROR(__xludf.DUMMYFUNCTION("GOOGLEFINANCE(B110,""VOLUME"")"),2380569.0)</f>
        <v>2380569</v>
      </c>
      <c r="K110" s="117">
        <f>IFERROR(__xludf.DUMMYFUNCTION("GOOGLEFINANCE(B110,""marketcap"")"),4.1363504E12)</f>
        <v>4136350400000</v>
      </c>
      <c r="L110" s="117">
        <f>IFERROR(__xludf.DUMMYFUNCTION("GOOGLEFINANCE(B110,""shares"")"),1.90733824E9)</f>
        <v>1907338240</v>
      </c>
      <c r="M110" s="117">
        <f>IFERROR(__xludf.DUMMYFUNCTION("GOOGLEFINANCE(B110,""EPS"")"),93.41)</f>
        <v>93.41</v>
      </c>
      <c r="N110" s="117">
        <f>IFERROR(__xludf.DUMMYFUNCTION("GOOGLEFINANCE(B110,""PE"")"),22.27)</f>
        <v>22.27</v>
      </c>
      <c r="O110" s="10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</row>
    <row r="111">
      <c r="A111" s="117">
        <v>108.0</v>
      </c>
      <c r="B111" s="6" t="s">
        <v>257</v>
      </c>
      <c r="C111" s="6"/>
      <c r="D111" s="6"/>
      <c r="E111" s="6"/>
      <c r="F111" s="117">
        <f>IFERROR(__xludf.DUMMYFUNCTION("GOOGLEFINANCE(B111,""price"")"),3115.0)</f>
        <v>3115</v>
      </c>
      <c r="G111" s="117">
        <f>IFERROR(__xludf.DUMMYFUNCTION("GOOGLEFINANCE(B111,""closeyest"")"),3153.7)</f>
        <v>3153.7</v>
      </c>
      <c r="H111" s="117">
        <f>IFERROR(__xludf.DUMMYFUNCTION("GOOGLEFINANCE(B111,""LOW52"")"),2293.55)</f>
        <v>2293.55</v>
      </c>
      <c r="I111" s="117">
        <f>IFERROR(__xludf.DUMMYFUNCTION("GOOGLEFINANCE(B111,""HIGH52"")"),3540.0)</f>
        <v>3540</v>
      </c>
      <c r="J111" s="117">
        <f>IFERROR(__xludf.DUMMYFUNCTION("GOOGLEFINANCE(B111,""VOLUME"")"),99936.0)</f>
        <v>99936</v>
      </c>
      <c r="K111" s="117">
        <f>IFERROR(__xludf.DUMMYFUNCTION("GOOGLEFINANCE(B111,""marketcap"")"),2.589683306E11)</f>
        <v>258968330600</v>
      </c>
      <c r="L111" s="117">
        <f>IFERROR(__xludf.DUMMYFUNCTION("GOOGLEFINANCE(B111,""shares"")"),8.3341608E7)</f>
        <v>83341608</v>
      </c>
      <c r="M111" s="117">
        <f>IFERROR(__xludf.DUMMYFUNCTION("GOOGLEFINANCE(B111,""EPS"")"),64.12)</f>
        <v>64.12</v>
      </c>
      <c r="N111" s="117">
        <f>IFERROR(__xludf.DUMMYFUNCTION("GOOGLEFINANCE(B111,""PE"")"),48.58)</f>
        <v>48.58</v>
      </c>
      <c r="O111" s="10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</row>
    <row r="112">
      <c r="A112" s="117">
        <v>109.0</v>
      </c>
      <c r="B112" s="6" t="s">
        <v>258</v>
      </c>
      <c r="C112" s="6"/>
      <c r="D112" s="6"/>
      <c r="E112" s="6"/>
      <c r="F112" s="117">
        <f>IFERROR(__xludf.DUMMYFUNCTION("GOOGLEFINANCE(B112,""price"")"),977.8)</f>
        <v>977.8</v>
      </c>
      <c r="G112" s="117">
        <f>IFERROR(__xludf.DUMMYFUNCTION("GOOGLEFINANCE(B112,""closeyest"")"),983.15)</f>
        <v>983.15</v>
      </c>
      <c r="H112" s="117">
        <f>IFERROR(__xludf.DUMMYFUNCTION("GOOGLEFINANCE(B112,""LOW52"")"),474.05)</f>
        <v>474.05</v>
      </c>
      <c r="I112" s="117">
        <f>IFERROR(__xludf.DUMMYFUNCTION("GOOGLEFINANCE(B112,""HIGH52"")"),994.8)</f>
        <v>994.8</v>
      </c>
      <c r="J112" s="117">
        <f>IFERROR(__xludf.DUMMYFUNCTION("GOOGLEFINANCE(B112,""VOLUME"")"),1667068.0)</f>
        <v>1667068</v>
      </c>
      <c r="K112" s="117">
        <f>IFERROR(__xludf.DUMMYFUNCTION("GOOGLEFINANCE(B112,""marketcap"")"),5.28107775861E11)</f>
        <v>528107775861</v>
      </c>
      <c r="L112" s="117">
        <f>IFERROR(__xludf.DUMMYFUNCTION("GOOGLEFINANCE(B112,""shares"")"),1.06437E8)</f>
        <v>106437000</v>
      </c>
      <c r="M112" s="117">
        <f>IFERROR(__xludf.DUMMYFUNCTION("GOOGLEFINANCE(B112,""EPS"")"),12.67)</f>
        <v>12.67</v>
      </c>
      <c r="N112" s="117">
        <f>IFERROR(__xludf.DUMMYFUNCTION("GOOGLEFINANCE(B112,""PE"")"),77.17)</f>
        <v>77.17</v>
      </c>
      <c r="O112" s="10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</row>
    <row r="113">
      <c r="A113" s="117">
        <v>110.0</v>
      </c>
      <c r="B113" s="6" t="s">
        <v>259</v>
      </c>
      <c r="C113" s="6"/>
      <c r="D113" s="6"/>
      <c r="E113" s="6"/>
      <c r="F113" s="117">
        <f>IFERROR(__xludf.DUMMYFUNCTION("GOOGLEFINANCE(B113,""price"")"),567.9)</f>
        <v>567.9</v>
      </c>
      <c r="G113" s="117">
        <f>IFERROR(__xludf.DUMMYFUNCTION("GOOGLEFINANCE(B113,""closeyest"")"),574.0)</f>
        <v>574</v>
      </c>
      <c r="H113" s="117">
        <f>IFERROR(__xludf.DUMMYFUNCTION("GOOGLEFINANCE(B113,""LOW52"")"),483.7)</f>
        <v>483.7</v>
      </c>
      <c r="I113" s="117">
        <f>IFERROR(__xludf.DUMMYFUNCTION("GOOGLEFINANCE(B113,""HIGH52"")"),648.9)</f>
        <v>648.9</v>
      </c>
      <c r="J113" s="117">
        <f>IFERROR(__xludf.DUMMYFUNCTION("GOOGLEFINANCE(B113,""VOLUME"")"),1496751.0)</f>
        <v>1496751</v>
      </c>
      <c r="K113" s="117">
        <f>IFERROR(__xludf.DUMMYFUNCTION("GOOGLEFINANCE(B113,""marketcap"")"),3.12380791129E11)</f>
        <v>312380791129</v>
      </c>
      <c r="L113" s="117">
        <f>IFERROR(__xludf.DUMMYFUNCTION("GOOGLEFINANCE(B113,""shares"")"),5.04663008E8)</f>
        <v>504663008</v>
      </c>
      <c r="M113" s="117">
        <f>IFERROR(__xludf.DUMMYFUNCTION("GOOGLEFINANCE(B113,""EPS"")"),100.39)</f>
        <v>100.39</v>
      </c>
      <c r="N113" s="117">
        <f>IFERROR(__xludf.DUMMYFUNCTION("GOOGLEFINANCE(B113,""PE"")"),5.66)</f>
        <v>5.66</v>
      </c>
      <c r="O113" s="10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</row>
    <row r="114">
      <c r="A114" s="117">
        <v>111.0</v>
      </c>
      <c r="B114" s="6" t="s">
        <v>259</v>
      </c>
      <c r="C114" s="6"/>
      <c r="D114" s="6"/>
      <c r="E114" s="6"/>
      <c r="F114" s="117">
        <f>IFERROR(__xludf.DUMMYFUNCTION("GOOGLEFINANCE(B114,""price"")"),567.9)</f>
        <v>567.9</v>
      </c>
      <c r="G114" s="117">
        <f>IFERROR(__xludf.DUMMYFUNCTION("GOOGLEFINANCE(B114,""closeyest"")"),574.0)</f>
        <v>574</v>
      </c>
      <c r="H114" s="117">
        <f>IFERROR(__xludf.DUMMYFUNCTION("GOOGLEFINANCE(B114,""LOW52"")"),483.7)</f>
        <v>483.7</v>
      </c>
      <c r="I114" s="117">
        <f>IFERROR(__xludf.DUMMYFUNCTION("GOOGLEFINANCE(B114,""HIGH52"")"),648.9)</f>
        <v>648.9</v>
      </c>
      <c r="J114" s="117">
        <f>IFERROR(__xludf.DUMMYFUNCTION("GOOGLEFINANCE(B114,""VOLUME"")"),1496751.0)</f>
        <v>1496751</v>
      </c>
      <c r="K114" s="117">
        <f>IFERROR(__xludf.DUMMYFUNCTION("GOOGLEFINANCE(B114,""marketcap"")"),3.12380791129E11)</f>
        <v>312380791129</v>
      </c>
      <c r="L114" s="117">
        <f>IFERROR(__xludf.DUMMYFUNCTION("GOOGLEFINANCE(B114,""shares"")"),5.04663008E8)</f>
        <v>504663008</v>
      </c>
      <c r="M114" s="117">
        <f>IFERROR(__xludf.DUMMYFUNCTION("GOOGLEFINANCE(B114,""EPS"")"),100.39)</f>
        <v>100.39</v>
      </c>
      <c r="N114" s="117">
        <f>IFERROR(__xludf.DUMMYFUNCTION("GOOGLEFINANCE(B114,""PE"")"),5.66)</f>
        <v>5.66</v>
      </c>
      <c r="O114" s="10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</row>
    <row r="115">
      <c r="A115" s="117">
        <v>112.0</v>
      </c>
      <c r="B115" s="6" t="s">
        <v>260</v>
      </c>
      <c r="C115" s="6"/>
      <c r="D115" s="6"/>
      <c r="E115" s="6"/>
      <c r="F115" s="117">
        <f>IFERROR(__xludf.DUMMYFUNCTION("GOOGLEFINANCE(B115,""price"")"),5641.0)</f>
        <v>5641</v>
      </c>
      <c r="G115" s="117">
        <f>IFERROR(__xludf.DUMMYFUNCTION("GOOGLEFINANCE(B115,""closeyest"")"),5620.0)</f>
        <v>5620</v>
      </c>
      <c r="H115" s="117">
        <f>IFERROR(__xludf.DUMMYFUNCTION("GOOGLEFINANCE(B115,""LOW52"")"),3802.0)</f>
        <v>3802</v>
      </c>
      <c r="I115" s="117">
        <f>IFERROR(__xludf.DUMMYFUNCTION("GOOGLEFINANCE(B115,""HIGH52"")"),6767.95)</f>
        <v>6767.95</v>
      </c>
      <c r="J115" s="117">
        <f>IFERROR(__xludf.DUMMYFUNCTION("GOOGLEFINANCE(B115,""VOLUME"")"),315445.0)</f>
        <v>315445</v>
      </c>
      <c r="K115" s="117">
        <f>IFERROR(__xludf.DUMMYFUNCTION("GOOGLEFINANCE(B115,""marketcap"")"),1.666153E12)</f>
        <v>1666153000000</v>
      </c>
      <c r="L115" s="117">
        <f>IFERROR(__xludf.DUMMYFUNCTION("GOOGLEFINANCE(B115,""shares"")"),1.73417184E8)</f>
        <v>173417184</v>
      </c>
      <c r="M115" s="117">
        <f>IFERROR(__xludf.DUMMYFUNCTION("GOOGLEFINANCE(B115,""EPS"")"),145.92)</f>
        <v>145.92</v>
      </c>
      <c r="N115" s="117">
        <f>IFERROR(__xludf.DUMMYFUNCTION("GOOGLEFINANCE(B115,""PE"")"),34.69)</f>
        <v>34.69</v>
      </c>
      <c r="O115" s="10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</row>
    <row r="116">
      <c r="A116" s="117">
        <v>113.0</v>
      </c>
      <c r="B116" s="6" t="s">
        <v>261</v>
      </c>
      <c r="C116" s="6"/>
      <c r="D116" s="6"/>
      <c r="E116" s="6"/>
      <c r="F116" s="117">
        <f>IFERROR(__xludf.DUMMYFUNCTION("GOOGLEFINANCE(B116,""price"")"),4115.0)</f>
        <v>4115</v>
      </c>
      <c r="G116" s="117">
        <f>IFERROR(__xludf.DUMMYFUNCTION("GOOGLEFINANCE(B116,""closeyest"")"),4090.3)</f>
        <v>4090.3</v>
      </c>
      <c r="H116" s="117">
        <f>IFERROR(__xludf.DUMMYFUNCTION("GOOGLEFINANCE(B116,""LOW52"")"),3951.3)</f>
        <v>3951.3</v>
      </c>
      <c r="I116" s="117">
        <f>IFERROR(__xludf.DUMMYFUNCTION("GOOGLEFINANCE(B116,""HIGH52"")"),5645.0)</f>
        <v>5645</v>
      </c>
      <c r="J116" s="117">
        <f>IFERROR(__xludf.DUMMYFUNCTION("GOOGLEFINANCE(B116,""VOLUME"")"),42372.0)</f>
        <v>42372</v>
      </c>
      <c r="K116" s="117">
        <f>IFERROR(__xludf.DUMMYFUNCTION("GOOGLEFINANCE(B116,""marketcap"")"),4.355819181E11)</f>
        <v>435581918100</v>
      </c>
      <c r="L116" s="117">
        <f>IFERROR(__xludf.DUMMYFUNCTION("GOOGLEFINANCE(B116,""shares"")"),1.0397004E8)</f>
        <v>103970040</v>
      </c>
      <c r="M116" s="117">
        <f>IFERROR(__xludf.DUMMYFUNCTION("GOOGLEFINANCE(B116,""EPS"")"),120.44)</f>
        <v>120.44</v>
      </c>
      <c r="N116" s="117">
        <f>IFERROR(__xludf.DUMMYFUNCTION("GOOGLEFINANCE(B116,""PE"")"),34.17)</f>
        <v>34.17</v>
      </c>
      <c r="O116" s="10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</row>
    <row r="117">
      <c r="A117" s="117">
        <v>114.0</v>
      </c>
      <c r="B117" s="6" t="s">
        <v>24</v>
      </c>
      <c r="C117" s="6"/>
      <c r="D117" s="6"/>
      <c r="E117" s="6"/>
      <c r="F117" s="117">
        <f>IFERROR(__xludf.DUMMYFUNCTION("GOOGLEFINANCE(B117,""price"")"),1970.0)</f>
        <v>1970</v>
      </c>
      <c r="G117" s="117">
        <f>IFERROR(__xludf.DUMMYFUNCTION("GOOGLEFINANCE(B117,""closeyest"")"),1997.0)</f>
        <v>1997</v>
      </c>
      <c r="H117" s="117">
        <f>IFERROR(__xludf.DUMMYFUNCTION("GOOGLEFINANCE(B117,""LOW52"")"),1795.2)</f>
        <v>1795.2</v>
      </c>
      <c r="I117" s="117">
        <f>IFERROR(__xludf.DUMMYFUNCTION("GOOGLEFINANCE(B117,""HIGH52"")"),2402.9)</f>
        <v>2402.9</v>
      </c>
      <c r="J117" s="117">
        <f>IFERROR(__xludf.DUMMYFUNCTION("GOOGLEFINANCE(B117,""VOLUME"")"),1405493.0)</f>
        <v>1405493</v>
      </c>
      <c r="K117" s="117">
        <f>IFERROR(__xludf.DUMMYFUNCTION("GOOGLEFINANCE(B117,""marketcap"")"),8.92999832101E11)</f>
        <v>892999832101</v>
      </c>
      <c r="L117" s="117">
        <f>IFERROR(__xludf.DUMMYFUNCTION("GOOGLEFINANCE(B117,""shares"")"),4.52405376E8)</f>
        <v>452405376</v>
      </c>
      <c r="M117" s="117">
        <f>IFERROR(__xludf.DUMMYFUNCTION("GOOGLEFINANCE(B117,""EPS"")"),80.79)</f>
        <v>80.79</v>
      </c>
      <c r="N117" s="117">
        <f>IFERROR(__xludf.DUMMYFUNCTION("GOOGLEFINANCE(B117,""PE"")"),24.39)</f>
        <v>24.39</v>
      </c>
      <c r="O117" s="10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</row>
    <row r="118">
      <c r="A118" s="117">
        <v>115.0</v>
      </c>
      <c r="B118" s="126" t="s">
        <v>259</v>
      </c>
      <c r="C118" s="6"/>
      <c r="D118" s="6"/>
      <c r="E118" s="6"/>
      <c r="F118" s="117">
        <f>IFERROR(__xludf.DUMMYFUNCTION("GOOGLEFINANCE(""500253 "",""price"")"),568.2)</f>
        <v>568.2</v>
      </c>
      <c r="G118" s="117">
        <f>IFERROR(__xludf.DUMMYFUNCTION("GOOGLEFINANCE(B118,""closeyest"")"),574.0)</f>
        <v>574</v>
      </c>
      <c r="H118" s="117">
        <f>IFERROR(__xludf.DUMMYFUNCTION("GOOGLEFINANCE(B118,""LOW52"")"),483.7)</f>
        <v>483.7</v>
      </c>
      <c r="I118" s="117">
        <f>IFERROR(__xludf.DUMMYFUNCTION("GOOGLEFINANCE(B118,""HIGH52"")"),648.9)</f>
        <v>648.9</v>
      </c>
      <c r="J118" s="117">
        <f>IFERROR(__xludf.DUMMYFUNCTION("GOOGLEFINANCE(B118,""VOLUME"")"),1496751.0)</f>
        <v>1496751</v>
      </c>
      <c r="K118" s="117">
        <f>IFERROR(__xludf.DUMMYFUNCTION("GOOGLEFINANCE(B118,""marketcap"")"),3.12380791129E11)</f>
        <v>312380791129</v>
      </c>
      <c r="L118" s="117">
        <f>IFERROR(__xludf.DUMMYFUNCTION("GOOGLEFINANCE(B118,""shares"")"),5.04663008E8)</f>
        <v>504663008</v>
      </c>
      <c r="M118" s="117">
        <f>IFERROR(__xludf.DUMMYFUNCTION("GOOGLEFINANCE(B118,""EPS"")"),100.39)</f>
        <v>100.39</v>
      </c>
      <c r="N118" s="117">
        <f>IFERROR(__xludf.DUMMYFUNCTION("GOOGLEFINANCE(B118,""PE"")"),5.66)</f>
        <v>5.66</v>
      </c>
      <c r="O118" s="10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</row>
    <row r="119">
      <c r="A119" s="117">
        <v>116.0</v>
      </c>
      <c r="B119" s="6" t="s">
        <v>262</v>
      </c>
      <c r="C119" s="6"/>
      <c r="D119" s="6"/>
      <c r="E119" s="6"/>
      <c r="F119" s="117">
        <f>IFERROR(__xludf.DUMMYFUNCTION("GOOGLEFINANCE(B119,""price"")"),274.0)</f>
        <v>274</v>
      </c>
      <c r="G119" s="117">
        <f>IFERROR(__xludf.DUMMYFUNCTION("GOOGLEFINANCE(B119,""closeyest"")"),266.45)</f>
        <v>266.45</v>
      </c>
      <c r="H119" s="117">
        <f>IFERROR(__xludf.DUMMYFUNCTION("GOOGLEFINANCE(B119,""LOW52"")"),147.67)</f>
        <v>147.67</v>
      </c>
      <c r="I119" s="117">
        <f>IFERROR(__xludf.DUMMYFUNCTION("GOOGLEFINANCE(B119,""HIGH52"")"),298.0)</f>
        <v>298</v>
      </c>
      <c r="J119" s="117">
        <f>IFERROR(__xludf.DUMMYFUNCTION("GOOGLEFINANCE(B119,""VOLUME"")"),9529258.0)</f>
        <v>9529258</v>
      </c>
      <c r="K119" s="117">
        <f>IFERROR(__xludf.DUMMYFUNCTION("GOOGLEFINANCE(B119,""marketcap"")"),2.31805608289E11)</f>
        <v>231805608289</v>
      </c>
      <c r="L119" s="117">
        <f>IFERROR(__xludf.DUMMYFUNCTION("GOOGLEFINANCE(B119,""shares"")"),8.428E8)</f>
        <v>842800000</v>
      </c>
      <c r="M119" s="117">
        <f>IFERROR(__xludf.DUMMYFUNCTION("GOOGLEFINANCE(B119,""EPS"")"),5.17)</f>
        <v>5.17</v>
      </c>
      <c r="N119" s="117">
        <f>IFERROR(__xludf.DUMMYFUNCTION("GOOGLEFINANCE(B119,""PE"")"),53.01)</f>
        <v>53.01</v>
      </c>
      <c r="O119" s="10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</row>
    <row r="120">
      <c r="A120" s="117">
        <v>117.0</v>
      </c>
      <c r="B120" s="6" t="s">
        <v>263</v>
      </c>
      <c r="C120" s="6"/>
      <c r="D120" s="6"/>
      <c r="E120" s="6"/>
      <c r="F120" s="117">
        <f>IFERROR(__xludf.DUMMYFUNCTION("GOOGLEFINANCE(B120,""price"")"),712.65)</f>
        <v>712.65</v>
      </c>
      <c r="G120" s="117">
        <f>IFERROR(__xludf.DUMMYFUNCTION("GOOGLEFINANCE(B120,""closeyest"")"),717.3)</f>
        <v>717.3</v>
      </c>
      <c r="H120" s="117">
        <f>IFERROR(__xludf.DUMMYFUNCTION("GOOGLEFINANCE(B120,""LOW52"")"),577.85)</f>
        <v>577.85</v>
      </c>
      <c r="I120" s="117">
        <f>IFERROR(__xludf.DUMMYFUNCTION("GOOGLEFINANCE(B120,""HIGH52"")"),759.0)</f>
        <v>759</v>
      </c>
      <c r="J120" s="117">
        <f>IFERROR(__xludf.DUMMYFUNCTION("GOOGLEFINANCE(B120,""VOLUME"")"),670236.0)</f>
        <v>670236</v>
      </c>
      <c r="K120" s="117">
        <f>IFERROR(__xludf.DUMMYFUNCTION("GOOGLEFINANCE(B120,""marketcap"")"),9.21151877518E11)</f>
        <v>921151877518</v>
      </c>
      <c r="L120" s="117">
        <f>IFERROR(__xludf.DUMMYFUNCTION("GOOGLEFINANCE(B120,""shares"")"),1.290899968E9)</f>
        <v>1290899968</v>
      </c>
      <c r="M120" s="117">
        <f>IFERROR(__xludf.DUMMYFUNCTION("GOOGLEFINANCE(B120,""EPS"")"),12.87)</f>
        <v>12.87</v>
      </c>
      <c r="N120" s="117">
        <f>IFERROR(__xludf.DUMMYFUNCTION("GOOGLEFINANCE(B120,""PE"")"),55.36)</f>
        <v>55.36</v>
      </c>
      <c r="O120" s="10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</row>
    <row r="121">
      <c r="A121" s="117">
        <v>118.0</v>
      </c>
      <c r="B121" s="6" t="s">
        <v>264</v>
      </c>
      <c r="C121" s="6"/>
      <c r="D121" s="6"/>
      <c r="E121" s="6"/>
      <c r="F121" s="117">
        <f>IFERROR(__xludf.DUMMYFUNCTION("GOOGLEFINANCE(B121,""price"")"),15449.0)</f>
        <v>15449</v>
      </c>
      <c r="G121" s="117">
        <f>IFERROR(__xludf.DUMMYFUNCTION("GOOGLEFINANCE(B121,""closeyest"")"),15374.0)</f>
        <v>15374</v>
      </c>
      <c r="H121" s="117">
        <f>IFERROR(__xludf.DUMMYFUNCTION("GOOGLEFINANCE(B121,""LOW52"")"),10725.0)</f>
        <v>10725</v>
      </c>
      <c r="I121" s="117">
        <f>IFERROR(__xludf.DUMMYFUNCTION("GOOGLEFINANCE(B121,""HIGH52"")"),16660.0)</f>
        <v>16660</v>
      </c>
      <c r="J121" s="117">
        <f>IFERROR(__xludf.DUMMYFUNCTION("GOOGLEFINANCE(B121,""VOLUME"")"),429800.0)</f>
        <v>429800</v>
      </c>
      <c r="K121" s="117">
        <f>IFERROR(__xludf.DUMMYFUNCTION("GOOGLEFINANCE(B121,""marketcap"")"),4.8572042225E12)</f>
        <v>4857204222500</v>
      </c>
      <c r="L121" s="117">
        <f>IFERROR(__xludf.DUMMYFUNCTION("GOOGLEFINANCE(B121,""shares"")"),3.02080064E8)</f>
        <v>302080064</v>
      </c>
      <c r="M121" s="117">
        <f>IFERROR(__xludf.DUMMYFUNCTION("GOOGLEFINANCE(B121,""EPS"")"),470.08)</f>
        <v>470.08</v>
      </c>
      <c r="N121" s="117">
        <f>IFERROR(__xludf.DUMMYFUNCTION("GOOGLEFINANCE(B121,""PE"")"),32.86)</f>
        <v>32.86</v>
      </c>
      <c r="O121" s="10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</row>
    <row r="122">
      <c r="A122" s="117">
        <v>119.0</v>
      </c>
      <c r="B122" s="123" t="s">
        <v>265</v>
      </c>
      <c r="C122" s="6"/>
      <c r="D122" s="6"/>
      <c r="E122" s="6"/>
      <c r="F122" s="17" t="str">
        <f>IFERROR(__xludf.DUMMYFUNCTION("GOOGLEFINANCE(""MCDOWELL-N"",""PRICE"")"),"#N/A")</f>
        <v>#N/A</v>
      </c>
      <c r="G122" s="17" t="str">
        <f>IFERROR(__xludf.DUMMYFUNCTION("GOOGLEFINANCE(B122,""closeyest"")"),"#N/A")</f>
        <v>#N/A</v>
      </c>
      <c r="H122" s="17" t="str">
        <f>IFERROR(__xludf.DUMMYFUNCTION("GOOGLEFINANCE(B122,""LOW52"")"),"#N/A")</f>
        <v>#N/A</v>
      </c>
      <c r="I122" s="17" t="str">
        <f>IFERROR(__xludf.DUMMYFUNCTION("GOOGLEFINANCE(B122,""HIGH52"")"),"#N/A")</f>
        <v>#N/A</v>
      </c>
      <c r="J122" s="17" t="str">
        <f>IFERROR(__xludf.DUMMYFUNCTION("GOOGLEFINANCE(B122,""VOLUME"")"),"#N/A")</f>
        <v>#N/A</v>
      </c>
      <c r="K122" s="17" t="str">
        <f>IFERROR(__xludf.DUMMYFUNCTION("GOOGLEFINANCE(B122,""marketcap"")"),"#N/A")</f>
        <v>#N/A</v>
      </c>
      <c r="L122" s="17" t="str">
        <f>IFERROR(__xludf.DUMMYFUNCTION("GOOGLEFINANCE(B122,""shares"")"),"#N/A")</f>
        <v>#N/A</v>
      </c>
      <c r="M122" s="17" t="str">
        <f>IFERROR(__xludf.DUMMYFUNCTION("GOOGLEFINANCE(B122,""EPS"")"),"#N/A")</f>
        <v>#N/A</v>
      </c>
      <c r="N122" s="17" t="str">
        <f>IFERROR(__xludf.DUMMYFUNCTION("GOOGLEFINANCE(B122,""PE"")"),"#N/A")</f>
        <v>#N/A</v>
      </c>
      <c r="O122" s="10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</row>
    <row r="123">
      <c r="A123" s="117">
        <v>120.0</v>
      </c>
      <c r="B123" s="6" t="s">
        <v>266</v>
      </c>
      <c r="C123" s="6"/>
      <c r="D123" s="6"/>
      <c r="E123" s="6"/>
      <c r="F123" s="117">
        <f>IFERROR(__xludf.DUMMYFUNCTION("GOOGLEFINANCE(B123,""price"")"),22108.97)</f>
        <v>22108.97</v>
      </c>
      <c r="G123" s="117">
        <f>IFERROR(__xludf.DUMMYFUNCTION("GOOGLEFINANCE(B123,""closeyest"")"),22094.38)</f>
        <v>22094.38</v>
      </c>
      <c r="H123" s="117">
        <f>IFERROR(__xludf.DUMMYFUNCTION("GOOGLEFINANCE(B123,""LOW52"")"),17392.49)</f>
        <v>17392.49</v>
      </c>
      <c r="I123" s="117">
        <f>IFERROR(__xludf.DUMMYFUNCTION("GOOGLEFINANCE(B123,""HIGH52"")"),22603.29)</f>
        <v>22603.29</v>
      </c>
      <c r="J123" s="117">
        <f>IFERROR(__xludf.DUMMYFUNCTION("GOOGLEFINANCE(B123,""VOLUME"")"),0.0)</f>
        <v>0</v>
      </c>
      <c r="K123" s="17" t="str">
        <f>IFERROR(__xludf.DUMMYFUNCTION("GOOGLEFINANCE(B123,""marketcap"")"),"#N/A")</f>
        <v>#N/A</v>
      </c>
      <c r="L123" s="17" t="str">
        <f>IFERROR(__xludf.DUMMYFUNCTION("GOOGLEFINANCE(B123,""shares"")"),"#N/A")</f>
        <v>#N/A</v>
      </c>
      <c r="M123" s="17" t="str">
        <f>IFERROR(__xludf.DUMMYFUNCTION("GOOGLEFINANCE(B123,""EPS"")"),"#N/A")</f>
        <v>#N/A</v>
      </c>
      <c r="N123" s="17" t="str">
        <f>IFERROR(__xludf.DUMMYFUNCTION("GOOGLEFINANCE(B123,""PE"")"),"#N/A")</f>
        <v>#N/A</v>
      </c>
      <c r="O123" s="10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</row>
    <row r="124">
      <c r="A124" s="117">
        <v>121.0</v>
      </c>
      <c r="B124" s="6" t="s">
        <v>267</v>
      </c>
      <c r="C124" s="6"/>
      <c r="D124" s="6"/>
      <c r="E124" s="6"/>
      <c r="F124" s="117">
        <f>IFERROR(__xludf.DUMMYFUNCTION("GOOGLEFINANCE(B124,""price"")"),1981.9)</f>
        <v>1981.9</v>
      </c>
      <c r="G124" s="117">
        <f>IFERROR(__xludf.DUMMYFUNCTION("GOOGLEFINANCE(B124,""closeyest"")"),2030.8)</f>
        <v>2030.8</v>
      </c>
      <c r="H124" s="117">
        <f>IFERROR(__xludf.DUMMYFUNCTION("GOOGLEFINANCE(B124,""LOW52"")"),1315.0)</f>
        <v>1315</v>
      </c>
      <c r="I124" s="117">
        <f>IFERROR(__xludf.DUMMYFUNCTION("GOOGLEFINANCE(B124,""HIGH52"")"),2263.0)</f>
        <v>2263</v>
      </c>
      <c r="J124" s="117">
        <f>IFERROR(__xludf.DUMMYFUNCTION("GOOGLEFINANCE(B124,""VOLUME"")"),323417.0)</f>
        <v>323417</v>
      </c>
      <c r="K124" s="117">
        <f>IFERROR(__xludf.DUMMYFUNCTION("GOOGLEFINANCE(B124,""marketcap"")"),1.02764097563E11)</f>
        <v>102764097563</v>
      </c>
      <c r="L124" s="17" t="str">
        <f>IFERROR(__xludf.DUMMYFUNCTION("GOOGLEFINANCE(B124,""shares"")"),"#N/A")</f>
        <v>#N/A</v>
      </c>
      <c r="M124" s="117">
        <f>IFERROR(__xludf.DUMMYFUNCTION("GOOGLEFINANCE(B124,""EPS"")"),29.45)</f>
        <v>29.45</v>
      </c>
      <c r="N124" s="117">
        <f>IFERROR(__xludf.DUMMYFUNCTION("GOOGLEFINANCE(B124,""PE"")"),67.3)</f>
        <v>67.3</v>
      </c>
      <c r="O124" s="10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</row>
    <row r="125">
      <c r="A125" s="117">
        <v>122.0</v>
      </c>
      <c r="B125" s="6" t="s">
        <v>268</v>
      </c>
      <c r="C125" s="6"/>
      <c r="D125" s="6"/>
      <c r="E125" s="6"/>
      <c r="F125" s="117">
        <f>IFERROR(__xludf.DUMMYFUNCTION("GOOGLEFINANCE(B125,""price"")"),1581.2)</f>
        <v>1581.2</v>
      </c>
      <c r="G125" s="117">
        <f>IFERROR(__xludf.DUMMYFUNCTION("GOOGLEFINANCE(B125,""closeyest"")"),1592.4)</f>
        <v>1592.4</v>
      </c>
      <c r="H125" s="117">
        <f>IFERROR(__xludf.DUMMYFUNCTION("GOOGLEFINANCE(B125,""LOW52"")"),950.0)</f>
        <v>950</v>
      </c>
      <c r="I125" s="117">
        <f>IFERROR(__xludf.DUMMYFUNCTION("GOOGLEFINANCE(B125,""HIGH52"")"),1674.8)</f>
        <v>1674.8</v>
      </c>
      <c r="J125" s="117">
        <f>IFERROR(__xludf.DUMMYFUNCTION("GOOGLEFINANCE(B125,""VOLUME"")"),471640.0)</f>
        <v>471640</v>
      </c>
      <c r="K125" s="117">
        <f>IFERROR(__xludf.DUMMYFUNCTION("GOOGLEFINANCE(B125,""marketcap"")"),5.45695346788E11)</f>
        <v>545695346788</v>
      </c>
      <c r="L125" s="117">
        <f>IFERROR(__xludf.DUMMYFUNCTION("GOOGLEFINANCE(B125,""shares"")"),2.68415744E8)</f>
        <v>268415744</v>
      </c>
      <c r="M125" s="117">
        <f>IFERROR(__xludf.DUMMYFUNCTION("GOOGLEFINANCE(B125,""EPS"")"),7.83)</f>
        <v>7.83</v>
      </c>
      <c r="N125" s="117">
        <f>IFERROR(__xludf.DUMMYFUNCTION("GOOGLEFINANCE(B125,""PE"")"),201.83)</f>
        <v>201.83</v>
      </c>
      <c r="O125" s="10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</row>
    <row r="126">
      <c r="A126" s="117">
        <v>123.0</v>
      </c>
      <c r="B126" s="6" t="s">
        <v>269</v>
      </c>
      <c r="C126" s="6"/>
      <c r="D126" s="6"/>
      <c r="E126" s="6"/>
      <c r="F126" s="117">
        <f>IFERROR(__xludf.DUMMYFUNCTION("GOOGLEFINANCE(B126,""price"")"),0.2)</f>
        <v>0.2</v>
      </c>
      <c r="G126" s="117">
        <f>IFERROR(__xludf.DUMMYFUNCTION("GOOGLEFINANCE(B126,""closeyest"")"),0.2)</f>
        <v>0.2</v>
      </c>
      <c r="H126" s="117">
        <f>IFERROR(__xludf.DUMMYFUNCTION("GOOGLEFINANCE(B126,""LOW52"")"),0.17)</f>
        <v>0.17</v>
      </c>
      <c r="I126" s="117">
        <f>IFERROR(__xludf.DUMMYFUNCTION("GOOGLEFINANCE(B126,""HIGH52"")"),0.26)</f>
        <v>0.26</v>
      </c>
      <c r="J126" s="117">
        <f>IFERROR(__xludf.DUMMYFUNCTION("GOOGLEFINANCE(B126,""VOLUME"")"),0.0)</f>
        <v>0</v>
      </c>
      <c r="K126" s="117">
        <f>IFERROR(__xludf.DUMMYFUNCTION("GOOGLEFINANCE(B126,""marketcap"")"),1.139237E7)</f>
        <v>11392370</v>
      </c>
      <c r="L126" s="117">
        <f>IFERROR(__xludf.DUMMYFUNCTION("GOOGLEFINANCE(B126,""shares"")"),5.6961826E7)</f>
        <v>56961826</v>
      </c>
      <c r="M126" s="117">
        <f>IFERROR(__xludf.DUMMYFUNCTION("GOOGLEFINANCE(B126,""EPS"")"),-0.12)</f>
        <v>-0.12</v>
      </c>
      <c r="N126" s="17" t="str">
        <f>IFERROR(__xludf.DUMMYFUNCTION("GOOGLEFINANCE(B126,""PE"")"),"#N/A")</f>
        <v>#N/A</v>
      </c>
      <c r="O126" s="10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</row>
    <row r="127">
      <c r="A127" s="117">
        <v>124.0</v>
      </c>
      <c r="B127" s="6" t="s">
        <v>270</v>
      </c>
      <c r="C127" s="6"/>
      <c r="D127" s="6"/>
      <c r="E127" s="6"/>
      <c r="F127" s="117">
        <f>IFERROR(__xludf.DUMMYFUNCTION("GOOGLEFINANCE(B127,""price"")"),2772.0)</f>
        <v>2772</v>
      </c>
      <c r="G127" s="117">
        <f>IFERROR(__xludf.DUMMYFUNCTION("GOOGLEFINANCE(B127,""closeyest"")"),2766.6)</f>
        <v>2766.6</v>
      </c>
      <c r="H127" s="117">
        <f>IFERROR(__xludf.DUMMYFUNCTION("GOOGLEFINANCE(B127,""LOW52"")"),2044.55)</f>
        <v>2044.55</v>
      </c>
      <c r="I127" s="117">
        <f>IFERROR(__xludf.DUMMYFUNCTION("GOOGLEFINANCE(B127,""HIGH52"")"),3237.95)</f>
        <v>3237.95</v>
      </c>
      <c r="J127" s="117">
        <f>IFERROR(__xludf.DUMMYFUNCTION("GOOGLEFINANCE(B127,""VOLUME"")"),354396.0)</f>
        <v>354396</v>
      </c>
      <c r="K127" s="117">
        <f>IFERROR(__xludf.DUMMYFUNCTION("GOOGLEFINANCE(B127,""marketcap"")"),5.273985024E11)</f>
        <v>527398502400</v>
      </c>
      <c r="L127" s="117">
        <f>IFERROR(__xludf.DUMMYFUNCTION("GOOGLEFINANCE(B127,""shares"")"),1.9342E8)</f>
        <v>193420000</v>
      </c>
      <c r="M127" s="117">
        <f>IFERROR(__xludf.DUMMYFUNCTION("GOOGLEFINANCE(B127,""EPS"")"),93.58)</f>
        <v>93.58</v>
      </c>
      <c r="N127" s="117">
        <f>IFERROR(__xludf.DUMMYFUNCTION("GOOGLEFINANCE(B127,""PE"")"),29.62)</f>
        <v>29.62</v>
      </c>
      <c r="O127" s="10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</row>
    <row r="128">
      <c r="A128" s="117">
        <v>125.0</v>
      </c>
      <c r="B128" s="6" t="s">
        <v>271</v>
      </c>
      <c r="C128" s="6"/>
      <c r="D128" s="6"/>
      <c r="E128" s="6"/>
      <c r="F128" s="117">
        <f>IFERROR(__xludf.DUMMYFUNCTION("GOOGLEFINANCE(B128,""price"")"),110.0)</f>
        <v>110</v>
      </c>
      <c r="G128" s="117">
        <f>IFERROR(__xludf.DUMMYFUNCTION("GOOGLEFINANCE(B128,""closeyest"")"),111.0)</f>
        <v>111</v>
      </c>
      <c r="H128" s="117">
        <f>IFERROR(__xludf.DUMMYFUNCTION("GOOGLEFINANCE(B128,""LOW52"")"),98.0)</f>
        <v>98</v>
      </c>
      <c r="I128" s="117">
        <f>IFERROR(__xludf.DUMMYFUNCTION("GOOGLEFINANCE(B128,""HIGH52"")"),160.0)</f>
        <v>160</v>
      </c>
      <c r="J128" s="117">
        <f>IFERROR(__xludf.DUMMYFUNCTION("GOOGLEFINANCE(B128,""VOLUME"")"),25753.0)</f>
        <v>25753</v>
      </c>
      <c r="K128" s="117">
        <f>IFERROR(__xludf.DUMMYFUNCTION("GOOGLEFINANCE(B128,""marketcap"")"),2.7490397E9)</f>
        <v>2749039700</v>
      </c>
      <c r="L128" s="117">
        <f>IFERROR(__xludf.DUMMYFUNCTION("GOOGLEFINANCE(B128,""shares"")"),2.49912687E9)</f>
        <v>2499126870</v>
      </c>
      <c r="M128" s="117">
        <f>IFERROR(__xludf.DUMMYFUNCTION("GOOGLEFINANCE(B128,""EPS"")"),0.07)</f>
        <v>0.07</v>
      </c>
      <c r="N128" s="117">
        <f>IFERROR(__xludf.DUMMYFUNCTION("GOOGLEFINANCE(B128,""PE"")"),15.22)</f>
        <v>15.22</v>
      </c>
      <c r="O128" s="10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</row>
    <row r="129">
      <c r="A129" s="117">
        <v>126.0</v>
      </c>
      <c r="B129" s="6" t="s">
        <v>272</v>
      </c>
      <c r="C129" s="6"/>
      <c r="D129" s="6"/>
      <c r="E129" s="6"/>
      <c r="F129" s="117">
        <f>IFERROR(__xludf.DUMMYFUNCTION("GOOGLEFINANCE(B129,""price"")"),47.5)</f>
        <v>47.5</v>
      </c>
      <c r="G129" s="117">
        <f>IFERROR(__xludf.DUMMYFUNCTION("GOOGLEFINANCE(B129,""closeyest"")"),46.99)</f>
        <v>46.99</v>
      </c>
      <c r="H129" s="117">
        <f>IFERROR(__xludf.DUMMYFUNCTION("GOOGLEFINANCE(B129,""LOW52"")"),30.72)</f>
        <v>30.72</v>
      </c>
      <c r="I129" s="117">
        <f>IFERROR(__xludf.DUMMYFUNCTION("GOOGLEFINANCE(B129,""HIGH52"")"),50.54)</f>
        <v>50.54</v>
      </c>
      <c r="J129" s="117">
        <f>IFERROR(__xludf.DUMMYFUNCTION("GOOGLEFINANCE(B129,""VOLUME"")"),1.1938833E7)</f>
        <v>11938833</v>
      </c>
      <c r="K129" s="117">
        <f>IFERROR(__xludf.DUMMYFUNCTION("GOOGLEFINANCE(B129,""marketcap"")"),2.11726811531E11)</f>
        <v>211726811531</v>
      </c>
      <c r="L129" s="17" t="str">
        <f>IFERROR(__xludf.DUMMYFUNCTION("GOOGLEFINANCE(B129,""shares"")"),"#N/A")</f>
        <v>#N/A</v>
      </c>
      <c r="M129" s="117">
        <f>IFERROR(__xludf.DUMMYFUNCTION("GOOGLEFINANCE(B129,""EPS"")"),0.91)</f>
        <v>0.91</v>
      </c>
      <c r="N129" s="117">
        <f>IFERROR(__xludf.DUMMYFUNCTION("GOOGLEFINANCE(B129,""PE"")"),52.38)</f>
        <v>52.38</v>
      </c>
      <c r="O129" s="10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</row>
    <row r="130">
      <c r="A130" s="117">
        <v>127.0</v>
      </c>
      <c r="B130" s="6" t="s">
        <v>273</v>
      </c>
      <c r="C130" s="6"/>
      <c r="D130" s="6"/>
      <c r="E130" s="6"/>
      <c r="F130" s="117">
        <f>IFERROR(__xludf.DUMMYFUNCTION("GOOGLEFINANCE(B130,""price"")"),3180.0)</f>
        <v>3180</v>
      </c>
      <c r="G130" s="117">
        <f>IFERROR(__xludf.DUMMYFUNCTION("GOOGLEFINANCE(B130,""closeyest"")"),3188.3)</f>
        <v>3188.3</v>
      </c>
      <c r="H130" s="117">
        <f>IFERROR(__xludf.DUMMYFUNCTION("GOOGLEFINANCE(B130,""LOW52"")"),1756.05)</f>
        <v>1756.05</v>
      </c>
      <c r="I130" s="117">
        <f>IFERROR(__xludf.DUMMYFUNCTION("GOOGLEFINANCE(B130,""HIGH52"")"),3377.9)</f>
        <v>3377.9</v>
      </c>
      <c r="J130" s="117">
        <f>IFERROR(__xludf.DUMMYFUNCTION("GOOGLEFINANCE(B130,""VOLUME"")"),375247.0)</f>
        <v>375247</v>
      </c>
      <c r="K130" s="117">
        <f>IFERROR(__xludf.DUMMYFUNCTION("GOOGLEFINANCE(B130,""marketcap"")"),1.27666983E12)</f>
        <v>1276669830000</v>
      </c>
      <c r="L130" s="117">
        <f>IFERROR(__xludf.DUMMYFUNCTION("GOOGLEFINANCE(B130,""shares"")"),4.00583296E8)</f>
        <v>400583296</v>
      </c>
      <c r="M130" s="117">
        <f>IFERROR(__xludf.DUMMYFUNCTION("GOOGLEFINANCE(B130,""EPS"")"),154.05)</f>
        <v>154.05</v>
      </c>
      <c r="N130" s="117">
        <f>IFERROR(__xludf.DUMMYFUNCTION("GOOGLEFINANCE(B130,""PE"")"),20.64)</f>
        <v>20.64</v>
      </c>
      <c r="O130" s="10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</row>
    <row r="131">
      <c r="A131" s="117">
        <v>128.0</v>
      </c>
      <c r="B131" s="126" t="s">
        <v>274</v>
      </c>
      <c r="C131" s="6"/>
      <c r="D131" s="6"/>
      <c r="E131" s="6"/>
      <c r="F131" s="117">
        <f>IFERROR(__xludf.DUMMYFUNCTION("GOOGLEFINANCE(""NSE:M&amp;M"",""price"")"),3615.1)</f>
        <v>3615.1</v>
      </c>
      <c r="G131" s="117">
        <f>IFERROR(__xludf.DUMMYFUNCTION("GOOGLEFINANCE(""NSE:M&amp;M"",""closeyest"")"),3581.2)</f>
        <v>3581.2</v>
      </c>
      <c r="H131" s="117">
        <f>IFERROR(__xludf.DUMMYFUNCTION("GOOGLEFINANCE(""NSE:M&amp;M"",""LOW52"")"),2425.0)</f>
        <v>2425</v>
      </c>
      <c r="I131" s="117">
        <f>IFERROR(__xludf.DUMMYFUNCTION("GOOGLEFINANCE(""NSE:M&amp;M"",""HIGH52"")"),3723.8)</f>
        <v>3723.8</v>
      </c>
      <c r="J131" s="117">
        <f>IFERROR(__xludf.DUMMYFUNCTION("GOOGLEFINANCE(""NSE:M&amp;M"",""VOLUME"")"),4535984.0)</f>
        <v>4535984</v>
      </c>
      <c r="K131" s="117">
        <f>IFERROR(__xludf.DUMMYFUNCTION("GOOGLEFINANCE(""NSE:M&amp;M"",""marketcap"")"),4.337406738E12)</f>
        <v>4337406738000</v>
      </c>
      <c r="L131" s="117">
        <f>IFERROR(__xludf.DUMMYFUNCTION("GOOGLEFINANCE(""NSE:M&amp;M"",""shares"")"),1.186368512E9)</f>
        <v>1186368512</v>
      </c>
      <c r="M131" s="117">
        <f>IFERROR(__xludf.DUMMYFUNCTION("GOOGLEFINANCE(""NSE:M&amp;M"",""EPS"")"),122.59)</f>
        <v>122.59</v>
      </c>
      <c r="N131" s="117">
        <f>IFERROR(__xludf.DUMMYFUNCTION("GOOGLEFINANCE(""NSE:M&amp;M"",""PE"")"),29.49)</f>
        <v>29.49</v>
      </c>
      <c r="O131" s="10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</row>
    <row r="132">
      <c r="A132" s="117">
        <v>129.0</v>
      </c>
      <c r="B132" s="126" t="s">
        <v>275</v>
      </c>
      <c r="C132" s="6"/>
      <c r="D132" s="6"/>
      <c r="E132" s="6"/>
      <c r="F132" s="117">
        <f>IFERROR(__xludf.DUMMYFUNCTION("GOOGLEFINANCE(""NSE:M&amp;MFIN"",""price"")"),310.8)</f>
        <v>310.8</v>
      </c>
      <c r="G132" s="117">
        <f>IFERROR(__xludf.DUMMYFUNCTION("GOOGLEFINANCE(""NSE:M&amp;MFIN"",""closeyest"")"),318.6)</f>
        <v>318.6</v>
      </c>
      <c r="H132" s="117">
        <f>IFERROR(__xludf.DUMMYFUNCTION("GOOGLEFINANCE(""NSE:M&amp;MFIN"",""LOW52"")"),231.52)</f>
        <v>231.52</v>
      </c>
      <c r="I132" s="117">
        <f>IFERROR(__xludf.DUMMYFUNCTION("GOOGLEFINANCE(""NSE:M&amp;MFIN"",""HIGH52"")"),329.35)</f>
        <v>329.35</v>
      </c>
      <c r="J132" s="117">
        <f>IFERROR(__xludf.DUMMYFUNCTION("GOOGLEFINANCE(""NSE:M&amp;MFIN"",""VOLUME"")"),1053585.0)</f>
        <v>1053585</v>
      </c>
      <c r="K132" s="117">
        <f>IFERROR(__xludf.DUMMYFUNCTION("GOOGLEFINANCE(""NSE:M&amp;MFIN"",""marketcap"")"),3.84098373E11)</f>
        <v>384098373000</v>
      </c>
      <c r="L132" s="117">
        <f>IFERROR(__xludf.DUMMYFUNCTION("GOOGLEFINANCE(""NSE:M&amp;MFIN"",""shares"")"),6.14571904E8)</f>
        <v>614571904</v>
      </c>
      <c r="M132" s="117">
        <f>IFERROR(__xludf.DUMMYFUNCTION("GOOGLEFINANCE(""NSE:M&amp;MFIN"",""EPS"")"),18.94)</f>
        <v>18.94</v>
      </c>
      <c r="N132" s="117">
        <f>IFERROR(__xludf.DUMMYFUNCTION("GOOGLEFINANCE(""NSE:M&amp;MFIN"",""PE"")"),16.41)</f>
        <v>16.41</v>
      </c>
      <c r="O132" s="10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</row>
    <row r="133">
      <c r="A133" s="117">
        <v>130.0</v>
      </c>
      <c r="B133" s="126" t="s">
        <v>276</v>
      </c>
      <c r="C133" s="6"/>
      <c r="D133" s="6"/>
      <c r="E133" s="6"/>
      <c r="F133" s="117">
        <f>IFERROR(__xludf.DUMMYFUNCTION("GOOGLEFINANCE(""NSE:NAM-INDIA"",""price"")"),868.0)</f>
        <v>868</v>
      </c>
      <c r="G133" s="117">
        <f>IFERROR(__xludf.DUMMYFUNCTION("GOOGLEFINANCE(""NSE:NAM-INDIA"",""closeyest"")"),881.55)</f>
        <v>881.55</v>
      </c>
      <c r="H133" s="117">
        <f>IFERROR(__xludf.DUMMYFUNCTION("GOOGLEFINANCE(""NSE:NAM-INDIA"",""LOW52"")"),498.05)</f>
        <v>498.05</v>
      </c>
      <c r="I133" s="117">
        <f>IFERROR(__xludf.DUMMYFUNCTION("GOOGLEFINANCE(""NSE:NAM-INDIA"",""HIGH52"")"),987.35)</f>
        <v>987.35</v>
      </c>
      <c r="J133" s="117">
        <f>IFERROR(__xludf.DUMMYFUNCTION("GOOGLEFINANCE(""NSE:NAM-INDIA"",""VOLUME"")"),760457.0)</f>
        <v>760457</v>
      </c>
      <c r="K133" s="117">
        <f>IFERROR(__xludf.DUMMYFUNCTION("GOOGLEFINANCE(""NSE:NAM-INDIA"",""marketcap"")"),5.526093356E11)</f>
        <v>552609335600</v>
      </c>
      <c r="L133" s="117">
        <f>IFERROR(__xludf.DUMMYFUNCTION("GOOGLEFINANCE(""NSE:NAM-INDIA"",""shares"")"),6.12E8)</f>
        <v>612000000</v>
      </c>
      <c r="M133" s="117">
        <f>IFERROR(__xludf.DUMMYFUNCTION("GOOGLEFINANCE(""NSE:NAM-INDIA"",""EPS"")"),8.55)</f>
        <v>8.55</v>
      </c>
      <c r="N133" s="117">
        <f>IFERROR(__xludf.DUMMYFUNCTION("GOOGLEFINANCE(""NSE:NAM-INDIA"",""PE"")"),40.57)</f>
        <v>40.57</v>
      </c>
      <c r="O133" s="10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</row>
    <row r="134">
      <c r="A134" s="117">
        <v>131.0</v>
      </c>
      <c r="B134" s="6" t="s">
        <v>277</v>
      </c>
      <c r="C134" s="6"/>
      <c r="D134" s="6"/>
      <c r="E134" s="6"/>
      <c r="F134" s="117">
        <f>IFERROR(__xludf.DUMMYFUNCTION("GOOGLEFINANCE(B134,""price"")"),230.81)</f>
        <v>230.81</v>
      </c>
      <c r="G134" s="117">
        <f>IFERROR(__xludf.DUMMYFUNCTION("GOOGLEFINANCE(B134,""closeyest"")"),233.27)</f>
        <v>233.27</v>
      </c>
      <c r="H134" s="117">
        <f>IFERROR(__xludf.DUMMYFUNCTION("GOOGLEFINANCE(B134,""LOW52"")"),137.75)</f>
        <v>137.75</v>
      </c>
      <c r="I134" s="117">
        <f>IFERROR(__xludf.DUMMYFUNCTION("GOOGLEFINANCE(B134,""HIGH52"")"),262.99)</f>
        <v>262.99</v>
      </c>
      <c r="J134" s="117">
        <f>IFERROR(__xludf.DUMMYFUNCTION("GOOGLEFINANCE(B134,""VOLUME"")"),6052538.0)</f>
        <v>6052538</v>
      </c>
      <c r="K134" s="117">
        <f>IFERROR(__xludf.DUMMYFUNCTION("GOOGLEFINANCE(B134,""marketcap"")"),4.2361892894E11)</f>
        <v>423618928940</v>
      </c>
      <c r="L134" s="117">
        <f>IFERROR(__xludf.DUMMYFUNCTION("GOOGLEFINANCE(B134,""shares"")"),1.865617536E9)</f>
        <v>1865617536</v>
      </c>
      <c r="M134" s="117">
        <f>IFERROR(__xludf.DUMMYFUNCTION("GOOGLEFINANCE(B134,""EPS"")"),31.19)</f>
        <v>31.19</v>
      </c>
      <c r="N134" s="117">
        <f>IFERROR(__xludf.DUMMYFUNCTION("GOOGLEFINANCE(B134,""PE"")"),7.4)</f>
        <v>7.4</v>
      </c>
      <c r="O134" s="10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</row>
    <row r="135">
      <c r="A135" s="117">
        <v>132.0</v>
      </c>
      <c r="B135" s="6" t="s">
        <v>278</v>
      </c>
      <c r="C135" s="6"/>
      <c r="D135" s="6"/>
      <c r="E135" s="6"/>
      <c r="F135" s="117">
        <f>IFERROR(__xludf.DUMMYFUNCTION("GOOGLEFINANCE(B135,""price"")"),1327.0)</f>
        <v>1327</v>
      </c>
      <c r="G135" s="117">
        <f>IFERROR(__xludf.DUMMYFUNCTION("GOOGLEFINANCE(B135,""closeyest"")"),1338.7)</f>
        <v>1338.7</v>
      </c>
      <c r="H135" s="117">
        <f>IFERROR(__xludf.DUMMYFUNCTION("GOOGLEFINANCE(B135,""LOW52"")"),1157.0)</f>
        <v>1157</v>
      </c>
      <c r="I135" s="117">
        <f>IFERROR(__xludf.DUMMYFUNCTION("GOOGLEFINANCE(B135,""HIGH52"")"),1825.78)</f>
        <v>1825.78</v>
      </c>
      <c r="J135" s="117">
        <f>IFERROR(__xludf.DUMMYFUNCTION("GOOGLEFINANCE(B135,""VOLUME"")"),855886.0)</f>
        <v>855886</v>
      </c>
      <c r="K135" s="117">
        <f>IFERROR(__xludf.DUMMYFUNCTION("GOOGLEFINANCE(B135,""marketcap"")"),8.591397427E11)</f>
        <v>859139742700</v>
      </c>
      <c r="L135" s="117">
        <f>IFERROR(__xludf.DUMMYFUNCTION("GOOGLEFINANCE(B135,""shares"")"),1.2211616E8)</f>
        <v>122116160</v>
      </c>
      <c r="M135" s="117">
        <f>IFERROR(__xludf.DUMMYFUNCTION("GOOGLEFINANCE(B135,""EPS"")"),15.8)</f>
        <v>15.8</v>
      </c>
      <c r="N135" s="117">
        <f>IFERROR(__xludf.DUMMYFUNCTION("GOOGLEFINANCE(B135,""PE"")"),83.99)</f>
        <v>83.99</v>
      </c>
      <c r="O135" s="10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</row>
    <row r="136">
      <c r="A136" s="117">
        <v>133.0</v>
      </c>
      <c r="B136" s="6" t="s">
        <v>279</v>
      </c>
      <c r="C136" s="6"/>
      <c r="D136" s="6"/>
      <c r="E136" s="6"/>
      <c r="F136" s="117">
        <f>IFERROR(__xludf.DUMMYFUNCTION("GOOGLEFINANCE(B136,""price"")"),6070.0)</f>
        <v>6070</v>
      </c>
      <c r="G136" s="117">
        <f>IFERROR(__xludf.DUMMYFUNCTION("GOOGLEFINANCE(B136,""closeyest"")"),6055.0)</f>
        <v>6055</v>
      </c>
      <c r="H136" s="117">
        <f>IFERROR(__xludf.DUMMYFUNCTION("GOOGLEFINANCE(B136,""LOW52"")"),3180.0)</f>
        <v>3180</v>
      </c>
      <c r="I136" s="117">
        <f>IFERROR(__xludf.DUMMYFUNCTION("GOOGLEFINANCE(B136,""HIGH52"")"),6138.0)</f>
        <v>6138</v>
      </c>
      <c r="J136" s="117">
        <f>IFERROR(__xludf.DUMMYFUNCTION("GOOGLEFINANCE(B136,""VOLUME"")"),454757.0)</f>
        <v>454757</v>
      </c>
      <c r="K136" s="117">
        <f>IFERROR(__xludf.DUMMYFUNCTION("GOOGLEFINANCE(B136,""marketcap"")"),3.01635333345E11)</f>
        <v>301635333345</v>
      </c>
      <c r="L136" s="117">
        <f>IFERROR(__xludf.DUMMYFUNCTION("GOOGLEFINANCE(B136,""shares"")"),4.946144E7)</f>
        <v>49461440</v>
      </c>
      <c r="M136" s="117">
        <f>IFERROR(__xludf.DUMMYFUNCTION("GOOGLEFINANCE(B136,""EPS"")"),88.56)</f>
        <v>88.56</v>
      </c>
      <c r="N136" s="117">
        <f>IFERROR(__xludf.DUMMYFUNCTION("GOOGLEFINANCE(B136,""PE"")"),68.54)</f>
        <v>68.54</v>
      </c>
      <c r="O136" s="10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</row>
    <row r="137">
      <c r="A137" s="117">
        <v>134.0</v>
      </c>
      <c r="B137" s="6" t="s">
        <v>280</v>
      </c>
      <c r="C137" s="6"/>
      <c r="D137" s="6"/>
      <c r="E137" s="6"/>
      <c r="F137" s="117">
        <f>IFERROR(__xludf.DUMMYFUNCTION("GOOGLEFINANCE(B137,""price"")"),111.25)</f>
        <v>111.25</v>
      </c>
      <c r="G137" s="117">
        <f>IFERROR(__xludf.DUMMYFUNCTION("GOOGLEFINANCE(B137,""closeyest"")"),113.95)</f>
        <v>113.95</v>
      </c>
      <c r="H137" s="117">
        <f>IFERROR(__xludf.DUMMYFUNCTION("GOOGLEFINANCE(B137,""LOW52"")"),70.8)</f>
        <v>70.8</v>
      </c>
      <c r="I137" s="117">
        <f>IFERROR(__xludf.DUMMYFUNCTION("GOOGLEFINANCE(B137,""HIGH52"")"),130.7)</f>
        <v>130.7</v>
      </c>
      <c r="J137" s="117">
        <f>IFERROR(__xludf.DUMMYFUNCTION("GOOGLEFINANCE(B137,""VOLUME"")"),5870038.0)</f>
        <v>5870038</v>
      </c>
      <c r="K137" s="117">
        <f>IFERROR(__xludf.DUMMYFUNCTION("GOOGLEFINANCE(B137,""marketcap"")"),3.00416728714E11)</f>
        <v>300416728714</v>
      </c>
      <c r="L137" s="117">
        <f>IFERROR(__xludf.DUMMYFUNCTION("GOOGLEFINANCE(B137,""shares"")"),1.8E9)</f>
        <v>1800000000</v>
      </c>
      <c r="M137" s="117">
        <f>IFERROR(__xludf.DUMMYFUNCTION("GOOGLEFINANCE(B137,""EPS"")"),2.11)</f>
        <v>2.11</v>
      </c>
      <c r="N137" s="117">
        <f>IFERROR(__xludf.DUMMYFUNCTION("GOOGLEFINANCE(B137,""PE"")"),52.76)</f>
        <v>52.76</v>
      </c>
      <c r="O137" s="10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</row>
    <row r="138">
      <c r="A138" s="117">
        <v>135.0</v>
      </c>
      <c r="B138" s="6" t="s">
        <v>281</v>
      </c>
      <c r="C138" s="6"/>
      <c r="D138" s="6"/>
      <c r="E138" s="6"/>
      <c r="F138" s="117">
        <f>IFERROR(__xludf.DUMMYFUNCTION("GOOGLEFINANCE(B138,""price"")"),1272.9)</f>
        <v>1272.9</v>
      </c>
      <c r="G138" s="117">
        <f>IFERROR(__xludf.DUMMYFUNCTION("GOOGLEFINANCE(B138,""closeyest"")"),1265.0)</f>
        <v>1265</v>
      </c>
      <c r="H138" s="117">
        <f>IFERROR(__xludf.DUMMYFUNCTION("GOOGLEFINANCE(B138,""LOW52"")"),1055.0)</f>
        <v>1055</v>
      </c>
      <c r="I138" s="117">
        <f>IFERROR(__xludf.DUMMYFUNCTION("GOOGLEFINANCE(B138,""HIGH52"")"),1311.6)</f>
        <v>1311.6</v>
      </c>
      <c r="J138" s="117">
        <f>IFERROR(__xludf.DUMMYFUNCTION("GOOGLEFINANCE(B138,""VOLUME"")"),1171263.0)</f>
        <v>1171263</v>
      </c>
      <c r="K138" s="117">
        <f>IFERROR(__xludf.DUMMYFUNCTION("GOOGLEFINANCE(B138,""marketcap"")"),2.454550937677E12)</f>
        <v>2454550937677</v>
      </c>
      <c r="L138" s="117">
        <f>IFERROR(__xludf.DUMMYFUNCTION("GOOGLEFINANCE(B138,""shares"")"),9.642E7)</f>
        <v>96420000</v>
      </c>
      <c r="M138" s="117">
        <f>IFERROR(__xludf.DUMMYFUNCTION("GOOGLEFINANCE(B138,""EPS"")"),15.31)</f>
        <v>15.31</v>
      </c>
      <c r="N138" s="117">
        <f>IFERROR(__xludf.DUMMYFUNCTION("GOOGLEFINANCE(B138,""PE"")"),83.11)</f>
        <v>83.11</v>
      </c>
      <c r="O138" s="10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</row>
    <row r="139">
      <c r="A139" s="117">
        <v>136.0</v>
      </c>
      <c r="B139" s="6" t="s">
        <v>282</v>
      </c>
      <c r="C139" s="6"/>
      <c r="D139" s="6"/>
      <c r="E139" s="6"/>
      <c r="F139" s="117">
        <f>IFERROR(__xludf.DUMMYFUNCTION("GOOGLEFINANCE(B139,""price"")"),73.2)</f>
        <v>73.2</v>
      </c>
      <c r="G139" s="117">
        <f>IFERROR(__xludf.DUMMYFUNCTION("GOOGLEFINANCE(B139,""closeyest"")"),74.27)</f>
        <v>74.27</v>
      </c>
      <c r="H139" s="117">
        <f>IFERROR(__xludf.DUMMYFUNCTION("GOOGLEFINANCE(B139,""LOW52"")"),59.53)</f>
        <v>59.53</v>
      </c>
      <c r="I139" s="117">
        <f>IFERROR(__xludf.DUMMYFUNCTION("GOOGLEFINANCE(B139,""HIGH52"")"),82.83)</f>
        <v>82.83</v>
      </c>
      <c r="J139" s="117">
        <f>IFERROR(__xludf.DUMMYFUNCTION("GOOGLEFINANCE(B139,""VOLUME"")"),1.1864374E7)</f>
        <v>11864374</v>
      </c>
      <c r="K139" s="117">
        <f>IFERROR(__xludf.DUMMYFUNCTION("GOOGLEFINANCE(B139,""marketcap"")"),6.43189032089E11)</f>
        <v>643189032089</v>
      </c>
      <c r="L139" s="117">
        <f>IFERROR(__xludf.DUMMYFUNCTION("GOOGLEFINANCE(B139,""shares"")"),3.163889408E9)</f>
        <v>3163889408</v>
      </c>
      <c r="M139" s="117">
        <f>IFERROR(__xludf.DUMMYFUNCTION("GOOGLEFINANCE(B139,""EPS"")"),7.99)</f>
        <v>7.99</v>
      </c>
      <c r="N139" s="117">
        <f>IFERROR(__xludf.DUMMYFUNCTION("GOOGLEFINANCE(B139,""PE"")"),9.16)</f>
        <v>9.16</v>
      </c>
      <c r="O139" s="10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</row>
    <row r="140">
      <c r="A140" s="117">
        <v>137.0</v>
      </c>
      <c r="B140" s="6" t="s">
        <v>283</v>
      </c>
      <c r="C140" s="6"/>
      <c r="D140" s="6"/>
      <c r="E140" s="6"/>
      <c r="F140" s="117">
        <f>IFERROR(__xludf.DUMMYFUNCTION("GOOGLEFINANCE(B140,""price"")"),327.0)</f>
        <v>327</v>
      </c>
      <c r="G140" s="117">
        <f>IFERROR(__xludf.DUMMYFUNCTION("GOOGLEFINANCE(B140,""closeyest"")"),330.6)</f>
        <v>330.6</v>
      </c>
      <c r="H140" s="117">
        <f>IFERROR(__xludf.DUMMYFUNCTION("GOOGLEFINANCE(B140,""LOW52"")"),292.8)</f>
        <v>292.8</v>
      </c>
      <c r="I140" s="117">
        <f>IFERROR(__xludf.DUMMYFUNCTION("GOOGLEFINANCE(B140,""HIGH52"")"),410.9)</f>
        <v>410.9</v>
      </c>
      <c r="J140" s="117">
        <f>IFERROR(__xludf.DUMMYFUNCTION("GOOGLEFINANCE(B140,""VOLUME"")"),1.1587302E7)</f>
        <v>11587302</v>
      </c>
      <c r="K140" s="117">
        <f>IFERROR(__xludf.DUMMYFUNCTION("GOOGLEFINANCE(B140,""marketcap"")"),3.164583915343E12)</f>
        <v>3164583915343</v>
      </c>
      <c r="L140" s="117">
        <f>IFERROR(__xludf.DUMMYFUNCTION("GOOGLEFINANCE(B140,""shares"")"),8.245464576E9)</f>
        <v>8245464576</v>
      </c>
      <c r="M140" s="117">
        <f>IFERROR(__xludf.DUMMYFUNCTION("GOOGLEFINANCE(B140,""EPS"")"),24.49)</f>
        <v>24.49</v>
      </c>
      <c r="N140" s="117">
        <f>IFERROR(__xludf.DUMMYFUNCTION("GOOGLEFINANCE(B140,""PE"")"),13.35)</f>
        <v>13.35</v>
      </c>
      <c r="O140" s="10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</row>
    <row r="141">
      <c r="A141" s="117">
        <v>138.0</v>
      </c>
      <c r="B141" s="6" t="s">
        <v>284</v>
      </c>
      <c r="C141" s="6"/>
      <c r="D141" s="6"/>
      <c r="E141" s="6"/>
      <c r="F141" s="117">
        <f>IFERROR(__xludf.DUMMYFUNCTION("GOOGLEFINANCE(B141,""price"")"),1776.0)</f>
        <v>1776</v>
      </c>
      <c r="G141" s="117">
        <f>IFERROR(__xludf.DUMMYFUNCTION("GOOGLEFINANCE(B141,""closeyest"")"),1781.1)</f>
        <v>1781.1</v>
      </c>
      <c r="H141" s="117">
        <f>IFERROR(__xludf.DUMMYFUNCTION("GOOGLEFINANCE(B141,""LOW52"")"),1451.95)</f>
        <v>1451.95</v>
      </c>
      <c r="I141" s="117">
        <f>IFERROR(__xludf.DUMMYFUNCTION("GOOGLEFINANCE(B141,""HIGH52"")"),2343.65)</f>
        <v>2343.65</v>
      </c>
      <c r="J141" s="117">
        <f>IFERROR(__xludf.DUMMYFUNCTION("GOOGLEFINANCE(B141,""VOLUME"")"),352524.0)</f>
        <v>352524</v>
      </c>
      <c r="K141" s="117">
        <f>IFERROR(__xludf.DUMMYFUNCTION("GOOGLEFINANCE(B141,""marketcap"")"),6.457575072E11)</f>
        <v>645757507200</v>
      </c>
      <c r="L141" s="117">
        <f>IFERROR(__xludf.DUMMYFUNCTION("GOOGLEFINANCE(B141,""shares"")"),3.6360224E8)</f>
        <v>363602240</v>
      </c>
      <c r="M141" s="117">
        <f>IFERROR(__xludf.DUMMYFUNCTION("GOOGLEFINANCE(B141,""EPS"")"),61.43)</f>
        <v>61.43</v>
      </c>
      <c r="N141" s="117">
        <f>IFERROR(__xludf.DUMMYFUNCTION("GOOGLEFINANCE(B141,""PE"")"),28.91)</f>
        <v>28.91</v>
      </c>
      <c r="O141" s="10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</row>
    <row r="142">
      <c r="A142" s="117">
        <v>139.0</v>
      </c>
      <c r="B142" s="6" t="s">
        <v>13</v>
      </c>
      <c r="C142" s="6"/>
      <c r="D142" s="6"/>
      <c r="E142" s="6"/>
      <c r="F142" s="117">
        <f>IFERROR(__xludf.DUMMYFUNCTION("GOOGLEFINANCE(B142,""price"")"),8210.0)</f>
        <v>8210</v>
      </c>
      <c r="G142" s="117">
        <f>IFERROR(__xludf.DUMMYFUNCTION("GOOGLEFINANCE(B142,""closeyest"")"),8325.0)</f>
        <v>8325</v>
      </c>
      <c r="H142" s="117">
        <f>IFERROR(__xludf.DUMMYFUNCTION("GOOGLEFINANCE(B142,""LOW52"")"),7038.0)</f>
        <v>7038</v>
      </c>
      <c r="I142" s="117">
        <f>IFERROR(__xludf.DUMMYFUNCTION("GOOGLEFINANCE(B142,""HIGH52"")"),13220.0)</f>
        <v>13220</v>
      </c>
      <c r="J142" s="117">
        <f>IFERROR(__xludf.DUMMYFUNCTION("GOOGLEFINANCE(B142,""VOLUME"")"),76986.0)</f>
        <v>76986</v>
      </c>
      <c r="K142" s="117">
        <f>IFERROR(__xludf.DUMMYFUNCTION("GOOGLEFINANCE(B142,""marketcap"")"),7.14680017935E11)</f>
        <v>714680017935</v>
      </c>
      <c r="L142" s="117">
        <f>IFERROR(__xludf.DUMMYFUNCTION("GOOGLEFINANCE(B142,""shares"")"),8.573992E7)</f>
        <v>85739920</v>
      </c>
      <c r="M142" s="117">
        <f>IFERROR(__xludf.DUMMYFUNCTION("GOOGLEFINANCE(B142,""EPS"")"),272.08)</f>
        <v>272.08</v>
      </c>
      <c r="N142" s="117">
        <f>IFERROR(__xludf.DUMMYFUNCTION("GOOGLEFINANCE(B142,""PE"")"),30.18)</f>
        <v>30.18</v>
      </c>
      <c r="O142" s="10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</row>
    <row r="143">
      <c r="A143" s="117">
        <v>140.0</v>
      </c>
      <c r="B143" s="6" t="s">
        <v>285</v>
      </c>
      <c r="C143" s="6"/>
      <c r="D143" s="6"/>
      <c r="E143" s="6"/>
      <c r="F143" s="117">
        <f>IFERROR(__xludf.DUMMYFUNCTION("GOOGLEFINANCE(B143,""price"")"),252.1)</f>
        <v>252.1</v>
      </c>
      <c r="G143" s="117">
        <f>IFERROR(__xludf.DUMMYFUNCTION("GOOGLEFINANCE(B143,""closeyest"")"),252.35)</f>
        <v>252.35</v>
      </c>
      <c r="H143" s="117">
        <f>IFERROR(__xludf.DUMMYFUNCTION("GOOGLEFINANCE(B143,""LOW52"")"),205.0)</f>
        <v>205</v>
      </c>
      <c r="I143" s="117">
        <f>IFERROR(__xludf.DUMMYFUNCTION("GOOGLEFINANCE(B143,""HIGH52"")"),273.5)</f>
        <v>273.5</v>
      </c>
      <c r="J143" s="117">
        <f>IFERROR(__xludf.DUMMYFUNCTION("GOOGLEFINANCE(B143,""VOLUME"")"),6987258.0)</f>
        <v>6987258</v>
      </c>
      <c r="K143" s="117">
        <f>IFERROR(__xludf.DUMMYFUNCTION("GOOGLEFINANCE(B143,""marketcap"")"),3.163180613609E12)</f>
        <v>3163180613609</v>
      </c>
      <c r="L143" s="117">
        <f>IFERROR(__xludf.DUMMYFUNCTION("GOOGLEFINANCE(B143,""shares"")"),1.2833240064E10)</f>
        <v>12833240064</v>
      </c>
      <c r="M143" s="117">
        <f>IFERROR(__xludf.DUMMYFUNCTION("GOOGLEFINANCE(B143,""EPS"")"),28.63)</f>
        <v>28.63</v>
      </c>
      <c r="N143" s="117">
        <f>IFERROR(__xludf.DUMMYFUNCTION("GOOGLEFINANCE(B143,""PE"")"),8.8)</f>
        <v>8.8</v>
      </c>
      <c r="O143" s="10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</row>
    <row r="144">
      <c r="A144" s="117">
        <v>141.0</v>
      </c>
      <c r="B144" s="6" t="s">
        <v>286</v>
      </c>
      <c r="C144" s="6"/>
      <c r="D144" s="6"/>
      <c r="E144" s="6"/>
      <c r="F144" s="117">
        <f>IFERROR(__xludf.DUMMYFUNCTION("GOOGLEFINANCE(B144,""price"")"),39700.0)</f>
        <v>39700</v>
      </c>
      <c r="G144" s="117">
        <f>IFERROR(__xludf.DUMMYFUNCTION("GOOGLEFINANCE(B144,""closeyest"")"),40135.0)</f>
        <v>40135</v>
      </c>
      <c r="H144" s="117">
        <f>IFERROR(__xludf.DUMMYFUNCTION("GOOGLEFINANCE(B144,""LOW52"")"),38850.0)</f>
        <v>38850</v>
      </c>
      <c r="I144" s="117">
        <f>IFERROR(__xludf.DUMMYFUNCTION("GOOGLEFINANCE(B144,""HIGH52"")"),50590.0)</f>
        <v>50590</v>
      </c>
      <c r="J144" s="117">
        <f>IFERROR(__xludf.DUMMYFUNCTION("GOOGLEFINANCE(B144,""VOLUME"")"),16531.0)</f>
        <v>16531</v>
      </c>
      <c r="K144" s="117">
        <f>IFERROR(__xludf.DUMMYFUNCTION("GOOGLEFINANCE(B144,""marketcap"")"),4.42808639E11)</f>
        <v>442808639000</v>
      </c>
      <c r="L144" s="117">
        <f>IFERROR(__xludf.DUMMYFUNCTION("GOOGLEFINANCE(B144,""shares"")"),1.11539E7)</f>
        <v>11153900</v>
      </c>
      <c r="M144" s="117">
        <f>IFERROR(__xludf.DUMMYFUNCTION("GOOGLEFINANCE(B144,""EPS"")"),685.6)</f>
        <v>685.6</v>
      </c>
      <c r="N144" s="117">
        <f>IFERROR(__xludf.DUMMYFUNCTION("GOOGLEFINANCE(B144,""PE"")"),57.91)</f>
        <v>57.91</v>
      </c>
      <c r="O144" s="10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</row>
    <row r="145">
      <c r="A145" s="117">
        <v>142.0</v>
      </c>
      <c r="B145" s="6" t="s">
        <v>287</v>
      </c>
      <c r="C145" s="6"/>
      <c r="D145" s="6"/>
      <c r="E145" s="6"/>
      <c r="F145" s="117">
        <f>IFERROR(__xludf.DUMMYFUNCTION("GOOGLEFINANCE(B145,""price"")"),1133.0)</f>
        <v>1133</v>
      </c>
      <c r="G145" s="117">
        <f>IFERROR(__xludf.DUMMYFUNCTION("GOOGLEFINANCE(B145,""closeyest"")"),1124.2)</f>
        <v>1124.2</v>
      </c>
      <c r="H145" s="117">
        <f>IFERROR(__xludf.DUMMYFUNCTION("GOOGLEFINANCE(B145,""LOW52"")"),848.25)</f>
        <v>848.25</v>
      </c>
      <c r="I145" s="117">
        <f>IFERROR(__xludf.DUMMYFUNCTION("GOOGLEFINANCE(B145,""HIGH52"")"),1355.3)</f>
        <v>1355.3</v>
      </c>
      <c r="J145" s="117">
        <f>IFERROR(__xludf.DUMMYFUNCTION("GOOGLEFINANCE(B145,""VOLUME"")"),0.0)</f>
        <v>0</v>
      </c>
      <c r="K145" s="117">
        <f>IFERROR(__xludf.DUMMYFUNCTION("GOOGLEFINANCE(B145,""marketcap"")"),2.53064459026E11)</f>
        <v>253064459026</v>
      </c>
      <c r="L145" s="117">
        <f>IFERROR(__xludf.DUMMYFUNCTION("GOOGLEFINANCE(B145,""shares"")"),1.83359824E8)</f>
        <v>183359824</v>
      </c>
      <c r="M145" s="117" t="str">
        <f>IFERROR(__xludf.DUMMYFUNCTION("GOOGLEFINANCE(B145,""EPS"")"),"#N/A")</f>
        <v>#N/A</v>
      </c>
      <c r="N145" s="117" t="str">
        <f>IFERROR(__xludf.DUMMYFUNCTION("GOOGLEFINANCE(B145,""PE"")"),"#N/A")</f>
        <v>#N/A</v>
      </c>
      <c r="O145" s="10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</row>
    <row r="146">
      <c r="A146" s="117">
        <v>143.0</v>
      </c>
      <c r="B146" s="6" t="s">
        <v>288</v>
      </c>
      <c r="C146" s="6"/>
      <c r="D146" s="6"/>
      <c r="E146" s="6"/>
      <c r="F146" s="117">
        <f>IFERROR(__xludf.DUMMYFUNCTION("GOOGLEFINANCE(B146,""price"")"),5831.5)</f>
        <v>5831.5</v>
      </c>
      <c r="G146" s="117">
        <f>IFERROR(__xludf.DUMMYFUNCTION("GOOGLEFINANCE(B146,""closeyest"")"),5858.5)</f>
        <v>5858.5</v>
      </c>
      <c r="H146" s="117">
        <f>IFERROR(__xludf.DUMMYFUNCTION("GOOGLEFINANCE(B146,""LOW52"")"),4148.95)</f>
        <v>4148.95</v>
      </c>
      <c r="I146" s="117">
        <f>IFERROR(__xludf.DUMMYFUNCTION("GOOGLEFINANCE(B146,""HIGH52"")"),6788.9)</f>
        <v>6788.9</v>
      </c>
      <c r="J146" s="117">
        <f>IFERROR(__xludf.DUMMYFUNCTION("GOOGLEFINANCE(B146,""VOLUME"")"),341274.0)</f>
        <v>341274</v>
      </c>
      <c r="K146" s="117">
        <f>IFERROR(__xludf.DUMMYFUNCTION("GOOGLEFINANCE(B146,""marketcap"")"),9.0796396685E11)</f>
        <v>907963966850</v>
      </c>
      <c r="L146" s="117">
        <f>IFERROR(__xludf.DUMMYFUNCTION("GOOGLEFINANCE(B146,""shares"")"),8.0E7)</f>
        <v>80000000</v>
      </c>
      <c r="M146" s="117">
        <f>IFERROR(__xludf.DUMMYFUNCTION("GOOGLEFINANCE(B146,""EPS"")"),106.68)</f>
        <v>106.68</v>
      </c>
      <c r="N146" s="117">
        <f>IFERROR(__xludf.DUMMYFUNCTION("GOOGLEFINANCE(B146,""PE"")"),54.66)</f>
        <v>54.66</v>
      </c>
      <c r="O146" s="10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</row>
    <row r="147">
      <c r="A147" s="117">
        <v>144.0</v>
      </c>
      <c r="B147" s="6" t="s">
        <v>289</v>
      </c>
      <c r="C147" s="6"/>
      <c r="D147" s="6"/>
      <c r="E147" s="6"/>
      <c r="F147" s="117">
        <f>IFERROR(__xludf.DUMMYFUNCTION("GOOGLEFINANCE(B147,""price"")"),275.4)</f>
        <v>275.4</v>
      </c>
      <c r="G147" s="117">
        <f>IFERROR(__xludf.DUMMYFUNCTION("GOOGLEFINANCE(B147,""closeyest"")"),280.5)</f>
        <v>280.5</v>
      </c>
      <c r="H147" s="117">
        <f>IFERROR(__xludf.DUMMYFUNCTION("GOOGLEFINANCE(B147,""LOW52"")"),266.1)</f>
        <v>266.1</v>
      </c>
      <c r="I147" s="117">
        <f>IFERROR(__xludf.DUMMYFUNCTION("GOOGLEFINANCE(B147,""HIGH52"")"),349.9)</f>
        <v>349.9</v>
      </c>
      <c r="J147" s="117">
        <f>IFERROR(__xludf.DUMMYFUNCTION("GOOGLEFINANCE(B147,""VOLUME"")"),1791494.0)</f>
        <v>1791494</v>
      </c>
      <c r="K147" s="117">
        <f>IFERROR(__xludf.DUMMYFUNCTION("GOOGLEFINANCE(B147,""marketcap"")"),4.12264875E11)</f>
        <v>412264875000</v>
      </c>
      <c r="L147" s="117">
        <f>IFERROR(__xludf.DUMMYFUNCTION("GOOGLEFINANCE(B147,""shares"")"),1.500000128E9)</f>
        <v>1500000128</v>
      </c>
      <c r="M147" s="117">
        <f>IFERROR(__xludf.DUMMYFUNCTION("GOOGLEFINANCE(B147,""EPS"")"),24.71)</f>
        <v>24.71</v>
      </c>
      <c r="N147" s="117">
        <f>IFERROR(__xludf.DUMMYFUNCTION("GOOGLEFINANCE(B147,""PE"")"),11.14)</f>
        <v>11.14</v>
      </c>
      <c r="O147" s="10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</row>
    <row r="148">
      <c r="A148" s="117">
        <v>145.0</v>
      </c>
      <c r="B148" s="6" t="s">
        <v>290</v>
      </c>
      <c r="C148" s="6"/>
      <c r="D148" s="6"/>
      <c r="E148" s="6"/>
      <c r="F148" s="117">
        <f>IFERROR(__xludf.DUMMYFUNCTION("GOOGLEFINANCE(B148,""price"")"),4.0)</f>
        <v>4</v>
      </c>
      <c r="G148" s="117">
        <f>IFERROR(__xludf.DUMMYFUNCTION("GOOGLEFINANCE(B148,""closeyest"")"),4.0)</f>
        <v>4</v>
      </c>
      <c r="H148" s="117">
        <f>IFERROR(__xludf.DUMMYFUNCTION("GOOGLEFINANCE(B148,""LOW52"")"),3.6)</f>
        <v>3.6</v>
      </c>
      <c r="I148" s="117">
        <f>IFERROR(__xludf.DUMMYFUNCTION("GOOGLEFINANCE(B148,""HIGH52"")"),13.0)</f>
        <v>13</v>
      </c>
      <c r="J148" s="117">
        <f>IFERROR(__xludf.DUMMYFUNCTION("GOOGLEFINANCE(B148,""VOLUME"")"),202392.0)</f>
        <v>202392</v>
      </c>
      <c r="K148" s="117">
        <f>IFERROR(__xludf.DUMMYFUNCTION("GOOGLEFINANCE(B148,""marketcap"")"),2.098189E7)</f>
        <v>20981890</v>
      </c>
      <c r="L148" s="117">
        <f>IFERROR(__xludf.DUMMYFUNCTION("GOOGLEFINANCE(B148,""shares"")"),3.45912736E8)</f>
        <v>345912736</v>
      </c>
      <c r="M148" s="117" t="str">
        <f>IFERROR(__xludf.DUMMYFUNCTION("GOOGLEFINANCE(B148,""EPS"")"),"#N/A")</f>
        <v>#N/A</v>
      </c>
      <c r="N148" s="17" t="str">
        <f>IFERROR(__xludf.DUMMYFUNCTION("GOOGLEFINANCE(B148,""PE"")"),"#N/A")</f>
        <v>#N/A</v>
      </c>
      <c r="O148" s="10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</row>
    <row r="149">
      <c r="A149" s="117">
        <v>146.0</v>
      </c>
      <c r="B149" s="6" t="s">
        <v>291</v>
      </c>
      <c r="C149" s="6"/>
      <c r="D149" s="6"/>
      <c r="E149" s="6"/>
      <c r="F149" s="117">
        <f>IFERROR(__xludf.DUMMYFUNCTION("GOOGLEFINANCE(B149,""price"")"),5062.0)</f>
        <v>5062</v>
      </c>
      <c r="G149" s="117">
        <f>IFERROR(__xludf.DUMMYFUNCTION("GOOGLEFINANCE(B149,""closeyest"")"),5115.0)</f>
        <v>5115</v>
      </c>
      <c r="H149" s="117">
        <f>IFERROR(__xludf.DUMMYFUNCTION("GOOGLEFINANCE(B149,""LOW52"")"),3701.0)</f>
        <v>3701</v>
      </c>
      <c r="I149" s="117">
        <f>IFERROR(__xludf.DUMMYFUNCTION("GOOGLEFINANCE(B149,""HIGH52"")"),5993.0)</f>
        <v>5993</v>
      </c>
      <c r="J149" s="117">
        <f>IFERROR(__xludf.DUMMYFUNCTION("GOOGLEFINANCE(B149,""VOLUME"")"),9536.0)</f>
        <v>9536</v>
      </c>
      <c r="K149" s="117">
        <f>IFERROR(__xludf.DUMMYFUNCTION("GOOGLEFINANCE(B149,""marketcap"")"),2.3157495864E11)</f>
        <v>231574958640</v>
      </c>
      <c r="L149" s="117">
        <f>IFERROR(__xludf.DUMMYFUNCTION("GOOGLEFINANCE(B149,""shares"")"),4.575E7)</f>
        <v>45750000</v>
      </c>
      <c r="M149" s="117">
        <f>IFERROR(__xludf.DUMMYFUNCTION("GOOGLEFINANCE(B149,""EPS"")"),176.77)</f>
        <v>176.77</v>
      </c>
      <c r="N149" s="117">
        <f>IFERROR(__xludf.DUMMYFUNCTION("GOOGLEFINANCE(B149,""PE"")"),28.64)</f>
        <v>28.64</v>
      </c>
      <c r="O149" s="10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</row>
    <row r="150">
      <c r="A150" s="117">
        <v>147.0</v>
      </c>
      <c r="B150" s="6" t="s">
        <v>292</v>
      </c>
      <c r="C150" s="6"/>
      <c r="D150" s="6"/>
      <c r="E150" s="6"/>
      <c r="F150" s="117">
        <f>IFERROR(__xludf.DUMMYFUNCTION("GOOGLEFINANCE(B150,""price"")"),1451.0)</f>
        <v>1451</v>
      </c>
      <c r="G150" s="117">
        <f>IFERROR(__xludf.DUMMYFUNCTION("GOOGLEFINANCE(B150,""closeyest"")"),1455.2)</f>
        <v>1455.2</v>
      </c>
      <c r="H150" s="117">
        <f>IFERROR(__xludf.DUMMYFUNCTION("GOOGLEFINANCE(B150,""LOW52"")"),1311.1)</f>
        <v>1311.1</v>
      </c>
      <c r="I150" s="117">
        <f>IFERROR(__xludf.DUMMYFUNCTION("GOOGLEFINANCE(B150,""HIGH52"")"),1620.0)</f>
        <v>1620</v>
      </c>
      <c r="J150" s="117">
        <f>IFERROR(__xludf.DUMMYFUNCTION("GOOGLEFINANCE(B150,""VOLUME"")"),692357.0)</f>
        <v>692357</v>
      </c>
      <c r="K150" s="117">
        <f>IFERROR(__xludf.DUMMYFUNCTION("GOOGLEFINANCE(B150,""marketcap"")"),7.33617421744E11)</f>
        <v>733617421744</v>
      </c>
      <c r="L150" s="117">
        <f>IFERROR(__xludf.DUMMYFUNCTION("GOOGLEFINANCE(B150,""shares"")"),5.07976928E8)</f>
        <v>507976928</v>
      </c>
      <c r="M150" s="117">
        <f>IFERROR(__xludf.DUMMYFUNCTION("GOOGLEFINANCE(B150,""EPS"")"),21.84)</f>
        <v>21.84</v>
      </c>
      <c r="N150" s="117">
        <f>IFERROR(__xludf.DUMMYFUNCTION("GOOGLEFINANCE(B150,""PE"")"),66.45)</f>
        <v>66.45</v>
      </c>
      <c r="O150" s="10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</row>
    <row r="151">
      <c r="A151" s="117">
        <v>148.0</v>
      </c>
      <c r="B151" s="6" t="s">
        <v>88</v>
      </c>
      <c r="C151" s="6"/>
      <c r="D151" s="6"/>
      <c r="E151" s="6"/>
      <c r="F151" s="117">
        <f>IFERROR(__xludf.DUMMYFUNCTION("GOOGLEFINANCE(B151,""price"")"),3740.0)</f>
        <v>3740</v>
      </c>
      <c r="G151" s="117">
        <f>IFERROR(__xludf.DUMMYFUNCTION("GOOGLEFINANCE(B151,""closeyest"")"),3683.3)</f>
        <v>3683.3</v>
      </c>
      <c r="H151" s="117">
        <f>IFERROR(__xludf.DUMMYFUNCTION("GOOGLEFINANCE(B151,""LOW52"")"),2951.1)</f>
        <v>2951.1</v>
      </c>
      <c r="I151" s="117">
        <f>IFERROR(__xludf.DUMMYFUNCTION("GOOGLEFINANCE(B151,""HIGH52"")"),4715.0)</f>
        <v>4715</v>
      </c>
      <c r="J151" s="117">
        <f>IFERROR(__xludf.DUMMYFUNCTION("GOOGLEFINANCE(B151,""VOLUME"")"),338796.0)</f>
        <v>338796</v>
      </c>
      <c r="K151" s="117">
        <f>IFERROR(__xludf.DUMMYFUNCTION("GOOGLEFINANCE(B151,""marketcap"")"),5.67369968E11)</f>
        <v>567369968000</v>
      </c>
      <c r="L151" s="117">
        <f>IFERROR(__xludf.DUMMYFUNCTION("GOOGLEFINANCE(B151,""shares"")"),1.38030656E8)</f>
        <v>138030656</v>
      </c>
      <c r="M151" s="117">
        <f>IFERROR(__xludf.DUMMYFUNCTION("GOOGLEFINANCE(B151,""EPS"")"),106.19)</f>
        <v>106.19</v>
      </c>
      <c r="N151" s="117">
        <f>IFERROR(__xludf.DUMMYFUNCTION("GOOGLEFINANCE(B151,""PE"")"),35.22)</f>
        <v>35.22</v>
      </c>
      <c r="O151" s="10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</row>
    <row r="152">
      <c r="A152" s="117">
        <v>149.0</v>
      </c>
      <c r="B152" s="6" t="s">
        <v>116</v>
      </c>
      <c r="C152" s="6"/>
      <c r="D152" s="6"/>
      <c r="E152" s="6"/>
      <c r="F152" s="117">
        <f>IFERROR(__xludf.DUMMYFUNCTION("GOOGLEFINANCE(B152,""price"")"),120.7)</f>
        <v>120.7</v>
      </c>
      <c r="G152" s="117">
        <f>IFERROR(__xludf.DUMMYFUNCTION("GOOGLEFINANCE(B152,""closeyest"")"),123.25)</f>
        <v>123.25</v>
      </c>
      <c r="H152" s="117">
        <f>IFERROR(__xludf.DUMMYFUNCTION("GOOGLEFINANCE(B152,""LOW52"")"),85.46)</f>
        <v>85.46</v>
      </c>
      <c r="I152" s="117">
        <f>IFERROR(__xludf.DUMMYFUNCTION("GOOGLEFINANCE(B152,""HIGH52"")"),124.48)</f>
        <v>124.48</v>
      </c>
      <c r="J152" s="117">
        <f>IFERROR(__xludf.DUMMYFUNCTION("GOOGLEFINANCE(B152,""VOLUME"")"),1.8897936E7)</f>
        <v>18897936</v>
      </c>
      <c r="K152" s="117">
        <f>IFERROR(__xludf.DUMMYFUNCTION("GOOGLEFINANCE(B152,""marketcap"")"),1.385141475E12)</f>
        <v>1385141475000</v>
      </c>
      <c r="L152" s="117">
        <f>IFERROR(__xludf.DUMMYFUNCTION("GOOGLEFINANCE(B152,""shares"")"),3.7117568E9)</f>
        <v>3711756800</v>
      </c>
      <c r="M152" s="117">
        <f>IFERROR(__xludf.DUMMYFUNCTION("GOOGLEFINANCE(B152,""EPS"")"),14.82)</f>
        <v>14.82</v>
      </c>
      <c r="N152" s="117">
        <f>IFERROR(__xludf.DUMMYFUNCTION("GOOGLEFINANCE(B152,""PE"")"),8.14)</f>
        <v>8.14</v>
      </c>
      <c r="O152" s="10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</row>
    <row r="153">
      <c r="A153" s="117">
        <v>150.0</v>
      </c>
      <c r="B153" s="6" t="s">
        <v>293</v>
      </c>
      <c r="C153" s="6"/>
      <c r="D153" s="6"/>
      <c r="E153" s="6"/>
      <c r="F153" s="117">
        <f>IFERROR(__xludf.DUMMYFUNCTION("GOOGLEFINANCE(B153,""price"")"),7593.0)</f>
        <v>7593</v>
      </c>
      <c r="G153" s="117">
        <f>IFERROR(__xludf.DUMMYFUNCTION("GOOGLEFINANCE(B153,""closeyest"")"),7560.0)</f>
        <v>7560</v>
      </c>
      <c r="H153" s="117">
        <f>IFERROR(__xludf.DUMMYFUNCTION("GOOGLEFINANCE(B153,""LOW52"")"),4555.0)</f>
        <v>4555</v>
      </c>
      <c r="I153" s="117">
        <f>IFERROR(__xludf.DUMMYFUNCTION("GOOGLEFINANCE(B153,""HIGH52"")"),7903.0)</f>
        <v>7903</v>
      </c>
      <c r="J153" s="117">
        <f>IFERROR(__xludf.DUMMYFUNCTION("GOOGLEFINANCE(B153,""VOLUME"")"),201409.0)</f>
        <v>201409</v>
      </c>
      <c r="K153" s="117">
        <f>IFERROR(__xludf.DUMMYFUNCTION("GOOGLEFINANCE(B153,""marketcap"")"),1.143321185206E12)</f>
        <v>1143321185206</v>
      </c>
      <c r="L153" s="17" t="str">
        <f>IFERROR(__xludf.DUMMYFUNCTION("GOOGLEFINANCE(B153,""shares"")"),"#N/A")</f>
        <v>#N/A</v>
      </c>
      <c r="M153" s="117">
        <f>IFERROR(__xludf.DUMMYFUNCTION("GOOGLEFINANCE(B153,""EPS"")"),163.09)</f>
        <v>163.09</v>
      </c>
      <c r="N153" s="117">
        <f>IFERROR(__xludf.DUMMYFUNCTION("GOOGLEFINANCE(B153,""PE"")"),46.56)</f>
        <v>46.56</v>
      </c>
      <c r="O153" s="10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</row>
    <row r="154">
      <c r="A154" s="117">
        <v>151.0</v>
      </c>
      <c r="B154" s="6" t="s">
        <v>294</v>
      </c>
      <c r="C154" s="6"/>
      <c r="D154" s="6"/>
      <c r="E154" s="6"/>
      <c r="F154" s="117">
        <f>IFERROR(__xludf.DUMMYFUNCTION("GOOGLEFINANCE(B154,""price"")"),270.25)</f>
        <v>270.25</v>
      </c>
      <c r="G154" s="117">
        <f>IFERROR(__xludf.DUMMYFUNCTION("GOOGLEFINANCE(B154,""closeyest"")"),279.05)</f>
        <v>279.05</v>
      </c>
      <c r="H154" s="117">
        <f>IFERROR(__xludf.DUMMYFUNCTION("GOOGLEFINANCE(B154,""LOW52"")"),247.3)</f>
        <v>247.3</v>
      </c>
      <c r="I154" s="117">
        <f>IFERROR(__xludf.DUMMYFUNCTION("GOOGLEFINANCE(B154,""HIGH52"")"),345.4)</f>
        <v>345.4</v>
      </c>
      <c r="J154" s="117">
        <f>IFERROR(__xludf.DUMMYFUNCTION("GOOGLEFINANCE(B154,""VOLUME"")"),2.1919591E7)</f>
        <v>21919591</v>
      </c>
      <c r="K154" s="117">
        <f>IFERROR(__xludf.DUMMYFUNCTION("GOOGLEFINANCE(B154,""marketcap"")"),2.512165969694E12)</f>
        <v>2512165969694</v>
      </c>
      <c r="L154" s="117">
        <f>IFERROR(__xludf.DUMMYFUNCTION("GOOGLEFINANCE(B154,""shares"")"),5.231589888E9)</f>
        <v>5231589888</v>
      </c>
      <c r="M154" s="117">
        <f>IFERROR(__xludf.DUMMYFUNCTION("GOOGLEFINANCE(B154,""EPS"")"),16.35)</f>
        <v>16.35</v>
      </c>
      <c r="N154" s="117">
        <f>IFERROR(__xludf.DUMMYFUNCTION("GOOGLEFINANCE(B154,""PE"")"),16.53)</f>
        <v>16.53</v>
      </c>
      <c r="O154" s="10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</row>
    <row r="155">
      <c r="A155" s="117">
        <v>152.0</v>
      </c>
      <c r="B155" s="6" t="s">
        <v>295</v>
      </c>
      <c r="C155" s="6"/>
      <c r="D155" s="6"/>
      <c r="E155" s="6"/>
      <c r="F155" s="17" t="str">
        <f>IFERROR(__xludf.DUMMYFUNCTION("GOOGLEFINANCE(B155,""price"")"),"#N/A")</f>
        <v>#N/A</v>
      </c>
      <c r="G155" s="17" t="str">
        <f>IFERROR(__xludf.DUMMYFUNCTION("GOOGLEFINANCE(B155,""closeyest"")"),"#N/A")</f>
        <v>#N/A</v>
      </c>
      <c r="H155" s="17" t="str">
        <f>IFERROR(__xludf.DUMMYFUNCTION("GOOGLEFINANCE(B155,""LOW52"")"),"#N/A")</f>
        <v>#N/A</v>
      </c>
      <c r="I155" s="17" t="str">
        <f>IFERROR(__xludf.DUMMYFUNCTION("GOOGLEFINANCE(B155,""HIGH52"")"),"#N/A")</f>
        <v>#N/A</v>
      </c>
      <c r="J155" s="17" t="str">
        <f>IFERROR(__xludf.DUMMYFUNCTION("GOOGLEFINANCE(B155,""VOLUME"")"),"#N/A")</f>
        <v>#N/A</v>
      </c>
      <c r="K155" s="17" t="str">
        <f>IFERROR(__xludf.DUMMYFUNCTION("GOOGLEFINANCE(B155,""marketcap"")"),"#N/A")</f>
        <v>#N/A</v>
      </c>
      <c r="L155" s="17" t="str">
        <f>IFERROR(__xludf.DUMMYFUNCTION("GOOGLEFINANCE(B155,""shares"")"),"#N/A")</f>
        <v>#N/A</v>
      </c>
      <c r="M155" s="17" t="str">
        <f>IFERROR(__xludf.DUMMYFUNCTION("GOOGLEFINANCE(B155,""EPS"")"),"#N/A")</f>
        <v>#N/A</v>
      </c>
      <c r="N155" s="17" t="str">
        <f>IFERROR(__xludf.DUMMYFUNCTION("GOOGLEFINANCE(B155,""PE"")"),"#N/A")</f>
        <v>#N/A</v>
      </c>
      <c r="O155" s="10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</row>
    <row r="156">
      <c r="A156" s="117">
        <v>153.0</v>
      </c>
      <c r="B156" s="6" t="s">
        <v>23</v>
      </c>
      <c r="C156" s="6"/>
      <c r="D156" s="6"/>
      <c r="E156" s="6"/>
      <c r="F156" s="117">
        <f>IFERROR(__xludf.DUMMYFUNCTION("GOOGLEFINANCE(B156,""price"")"),1036.0)</f>
        <v>1036</v>
      </c>
      <c r="G156" s="117">
        <f>IFERROR(__xludf.DUMMYFUNCTION("GOOGLEFINANCE(B156,""closeyest"")"),1027.0)</f>
        <v>1027</v>
      </c>
      <c r="H156" s="117">
        <f>IFERROR(__xludf.DUMMYFUNCTION("GOOGLEFINANCE(B156,""LOW52"")"),788.2)</f>
        <v>788.2</v>
      </c>
      <c r="I156" s="117">
        <f>IFERROR(__xludf.DUMMYFUNCTION("GOOGLEFINANCE(B156,""HIGH52"")"),1209.0)</f>
        <v>1209</v>
      </c>
      <c r="J156" s="117">
        <f>IFERROR(__xludf.DUMMYFUNCTION("GOOGLEFINANCE(B156,""VOLUME"")"),523522.0)</f>
        <v>523522</v>
      </c>
      <c r="K156" s="117">
        <f>IFERROR(__xludf.DUMMYFUNCTION("GOOGLEFINANCE(B156,""marketcap"")"),2.447989264E11)</f>
        <v>244798926400</v>
      </c>
      <c r="L156" s="117">
        <f>IFERROR(__xludf.DUMMYFUNCTION("GOOGLEFINANCE(B156,""shares"")"),2.35576784E8)</f>
        <v>235576784</v>
      </c>
      <c r="M156" s="117">
        <f>IFERROR(__xludf.DUMMYFUNCTION("GOOGLEFINANCE(B156,""EPS"")"),13.5)</f>
        <v>13.5</v>
      </c>
      <c r="N156" s="117">
        <f>IFERROR(__xludf.DUMMYFUNCTION("GOOGLEFINANCE(B156,""PE"")"),76.73)</f>
        <v>76.73</v>
      </c>
      <c r="O156" s="10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</row>
    <row r="157">
      <c r="A157" s="117">
        <v>154.0</v>
      </c>
      <c r="B157" s="6" t="s">
        <v>296</v>
      </c>
      <c r="C157" s="6"/>
      <c r="D157" s="6"/>
      <c r="E157" s="6"/>
      <c r="F157" s="117">
        <f>IFERROR(__xludf.DUMMYFUNCTION("GOOGLEFINANCE(B157,""price"")"),325.5)</f>
        <v>325.5</v>
      </c>
      <c r="G157" s="117">
        <f>IFERROR(__xludf.DUMMYFUNCTION("GOOGLEFINANCE(B157,""closeyest"")"),323.85)</f>
        <v>323.85</v>
      </c>
      <c r="H157" s="117">
        <f>IFERROR(__xludf.DUMMYFUNCTION("GOOGLEFINANCE(B157,""LOW52"")"),146.1)</f>
        <v>146.1</v>
      </c>
      <c r="I157" s="117">
        <f>IFERROR(__xludf.DUMMYFUNCTION("GOOGLEFINANCE(B157,""HIGH52"")"),332.0)</f>
        <v>332</v>
      </c>
      <c r="J157" s="117">
        <f>IFERROR(__xludf.DUMMYFUNCTION("GOOGLEFINANCE(B157,""VOLUME"")"),1.0775022E7)</f>
        <v>10775022</v>
      </c>
      <c r="K157" s="117">
        <f>IFERROR(__xludf.DUMMYFUNCTION("GOOGLEFINANCE(B157,""marketcap"")"),1.9962742485E11)</f>
        <v>199627424850</v>
      </c>
      <c r="L157" s="117">
        <f>IFERROR(__xludf.DUMMYFUNCTION("GOOGLEFINANCE(B157,""shares"")"),4.2543488E8)</f>
        <v>425434880</v>
      </c>
      <c r="M157" s="117">
        <f>IFERROR(__xludf.DUMMYFUNCTION("GOOGLEFINANCE(B157,""EPS"")"),8.81)</f>
        <v>8.81</v>
      </c>
      <c r="N157" s="117">
        <f>IFERROR(__xludf.DUMMYFUNCTION("GOOGLEFINANCE(B157,""PE"")"),36.94)</f>
        <v>36.94</v>
      </c>
      <c r="O157" s="10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</row>
    <row r="158">
      <c r="A158" s="117">
        <v>155.0</v>
      </c>
      <c r="B158" s="6" t="s">
        <v>297</v>
      </c>
      <c r="C158" s="6"/>
      <c r="D158" s="6"/>
      <c r="E158" s="6"/>
      <c r="F158" s="117">
        <f>IFERROR(__xludf.DUMMYFUNCTION("GOOGLEFINANCE(B158,""price"")"),362.8)</f>
        <v>362.8</v>
      </c>
      <c r="G158" s="117">
        <f>IFERROR(__xludf.DUMMYFUNCTION("GOOGLEFINANCE(B158,""closeyest"")"),370.65)</f>
        <v>370.65</v>
      </c>
      <c r="H158" s="117">
        <f>IFERROR(__xludf.DUMMYFUNCTION("GOOGLEFINANCE(B158,""LOW52"")"),348.6)</f>
        <v>348.6</v>
      </c>
      <c r="I158" s="117">
        <f>IFERROR(__xludf.DUMMYFUNCTION("GOOGLEFINANCE(B158,""HIGH52"")"),573.3)</f>
        <v>573.3</v>
      </c>
      <c r="J158" s="117">
        <f>IFERROR(__xludf.DUMMYFUNCTION("GOOGLEFINANCE(B158,""VOLUME"")"),9880195.0)</f>
        <v>9880195</v>
      </c>
      <c r="K158" s="117">
        <f>IFERROR(__xludf.DUMMYFUNCTION("GOOGLEFINANCE(B158,""marketcap"")"),9.5482189423E11)</f>
        <v>954821894230</v>
      </c>
      <c r="L158" s="117">
        <f>IFERROR(__xludf.DUMMYFUNCTION("GOOGLEFINANCE(B158,""shares"")"),1.974918016E9)</f>
        <v>1974918016</v>
      </c>
      <c r="M158" s="117">
        <f>IFERROR(__xludf.DUMMYFUNCTION("GOOGLEFINANCE(B158,""EPS"")"),65.58)</f>
        <v>65.58</v>
      </c>
      <c r="N158" s="117">
        <f>IFERROR(__xludf.DUMMYFUNCTION("GOOGLEFINANCE(B158,""PE"")"),5.53)</f>
        <v>5.53</v>
      </c>
      <c r="O158" s="10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</row>
    <row r="159">
      <c r="A159" s="117">
        <v>156.0</v>
      </c>
      <c r="B159" s="6" t="s">
        <v>298</v>
      </c>
      <c r="C159" s="6"/>
      <c r="D159" s="6"/>
      <c r="E159" s="6"/>
      <c r="F159" s="117">
        <f>IFERROR(__xludf.DUMMYFUNCTION("GOOGLEFINANCE(B159,""price"")"),1494.8)</f>
        <v>1494.8</v>
      </c>
      <c r="G159" s="117">
        <f>IFERROR(__xludf.DUMMYFUNCTION("GOOGLEFINANCE(B159,""closeyest"")"),1473.1)</f>
        <v>1473.1</v>
      </c>
      <c r="H159" s="117">
        <f>IFERROR(__xludf.DUMMYFUNCTION("GOOGLEFINANCE(B159,""LOW52"")"),1114.85)</f>
        <v>1114.85</v>
      </c>
      <c r="I159" s="117">
        <f>IFERROR(__xludf.DUMMYFUNCTION("GOOGLEFINANCE(B159,""HIGH52"")"),1551.0)</f>
        <v>1551</v>
      </c>
      <c r="J159" s="117">
        <f>IFERROR(__xludf.DUMMYFUNCTION("GOOGLEFINANCE(B159,""VOLUME"")"),1.6772678E7)</f>
        <v>16772678</v>
      </c>
      <c r="K159" s="117">
        <f>IFERROR(__xludf.DUMMYFUNCTION("GOOGLEFINANCE(B159,""marketcap"")"),2.0235373535E13)</f>
        <v>20235373535000</v>
      </c>
      <c r="L159" s="117">
        <f>IFERROR(__xludf.DUMMYFUNCTION("GOOGLEFINANCE(B159,""shares"")"),6.338512384E9)</f>
        <v>6338512384</v>
      </c>
      <c r="M159" s="117">
        <f>IFERROR(__xludf.DUMMYFUNCTION("GOOGLEFINANCE(B159,""EPS"")"),61.41)</f>
        <v>61.41</v>
      </c>
      <c r="N159" s="117">
        <f>IFERROR(__xludf.DUMMYFUNCTION("GOOGLEFINANCE(B159,""PE"")"),24.34)</f>
        <v>24.34</v>
      </c>
      <c r="O159" s="10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</row>
    <row r="160">
      <c r="A160" s="117">
        <v>157.0</v>
      </c>
      <c r="B160" s="6" t="s">
        <v>299</v>
      </c>
      <c r="C160" s="6"/>
      <c r="D160" s="6"/>
      <c r="E160" s="6"/>
      <c r="F160" s="117">
        <f>IFERROR(__xludf.DUMMYFUNCTION("GOOGLEFINANCE(B160,""price"")"),19.76)</f>
        <v>19.76</v>
      </c>
      <c r="G160" s="117">
        <f>IFERROR(__xludf.DUMMYFUNCTION("GOOGLEFINANCE(B160,""closeyest"")"),19.96)</f>
        <v>19.96</v>
      </c>
      <c r="H160" s="117">
        <f>IFERROR(__xludf.DUMMYFUNCTION("GOOGLEFINANCE(B160,""LOW52"")"),15.05)</f>
        <v>15.05</v>
      </c>
      <c r="I160" s="117">
        <f>IFERROR(__xludf.DUMMYFUNCTION("GOOGLEFINANCE(B160,""HIGH52"")"),26.35)</f>
        <v>26.35</v>
      </c>
      <c r="J160" s="117">
        <f>IFERROR(__xludf.DUMMYFUNCTION("GOOGLEFINANCE(B160,""VOLUME"")"),0.0)</f>
        <v>0</v>
      </c>
      <c r="K160" s="117">
        <f>IFERROR(__xludf.DUMMYFUNCTION("GOOGLEFINANCE(B160,""marketcap"")"),1.0999111679E10)</f>
        <v>10999111679</v>
      </c>
      <c r="L160" s="117">
        <f>IFERROR(__xludf.DUMMYFUNCTION("GOOGLEFINANCE(B160,""shares"")"),5.56635E8)</f>
        <v>556635000</v>
      </c>
      <c r="M160" s="117">
        <f>IFERROR(__xludf.DUMMYFUNCTION("GOOGLEFINANCE(B160,""EPS"")"),-0.69)</f>
        <v>-0.69</v>
      </c>
      <c r="N160" s="17" t="str">
        <f>IFERROR(__xludf.DUMMYFUNCTION("GOOGLEFINANCE(B160,""PE"")"),"#N/A")</f>
        <v>#N/A</v>
      </c>
      <c r="O160" s="10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</row>
    <row r="161">
      <c r="A161" s="117">
        <v>158.0</v>
      </c>
      <c r="B161" s="6" t="s">
        <v>300</v>
      </c>
      <c r="C161" s="6"/>
      <c r="D161" s="6"/>
      <c r="E161" s="6"/>
      <c r="F161" s="117">
        <f>IFERROR(__xludf.DUMMYFUNCTION("GOOGLEFINANCE(B161,""price"")"),869.75)</f>
        <v>869.75</v>
      </c>
      <c r="G161" s="117">
        <f>IFERROR(__xludf.DUMMYFUNCTION("GOOGLEFINANCE(B161,""closeyest"")"),880.4)</f>
        <v>880.4</v>
      </c>
      <c r="H161" s="117">
        <f>IFERROR(__xludf.DUMMYFUNCTION("GOOGLEFINANCE(B161,""LOW52"")"),663.05)</f>
        <v>663.05</v>
      </c>
      <c r="I161" s="117">
        <f>IFERROR(__xludf.DUMMYFUNCTION("GOOGLEFINANCE(B161,""HIGH52"")"),1027.25)</f>
        <v>1027.25</v>
      </c>
      <c r="J161" s="117">
        <f>IFERROR(__xludf.DUMMYFUNCTION("GOOGLEFINANCE(B161,""VOLUME"")"),645583.0)</f>
        <v>645583</v>
      </c>
      <c r="K161" s="117">
        <f>IFERROR(__xludf.DUMMYFUNCTION("GOOGLEFINANCE(B161,""marketcap"")"),8.27773331611E11)</f>
        <v>827773331611</v>
      </c>
      <c r="L161" s="17" t="str">
        <f>IFERROR(__xludf.DUMMYFUNCTION("GOOGLEFINANCE(B161,""shares"")"),"#N/A")</f>
        <v>#N/A</v>
      </c>
      <c r="M161" s="117">
        <f>IFERROR(__xludf.DUMMYFUNCTION("GOOGLEFINANCE(B161,""EPS"")"),20.14)</f>
        <v>20.14</v>
      </c>
      <c r="N161" s="117">
        <f>IFERROR(__xludf.DUMMYFUNCTION("GOOGLEFINANCE(B161,""PE"")"),43.18)</f>
        <v>43.18</v>
      </c>
      <c r="O161" s="10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</row>
    <row r="162">
      <c r="A162" s="117">
        <v>159.0</v>
      </c>
      <c r="B162" s="6" t="s">
        <v>301</v>
      </c>
      <c r="C162" s="6"/>
      <c r="D162" s="6"/>
      <c r="E162" s="6"/>
      <c r="F162" s="117">
        <f>IFERROR(__xludf.DUMMYFUNCTION("GOOGLEFINANCE(B162,""price"")"),1969.7)</f>
        <v>1969.7</v>
      </c>
      <c r="G162" s="117">
        <f>IFERROR(__xludf.DUMMYFUNCTION("GOOGLEFINANCE(B162,""closeyest"")"),1971.5)</f>
        <v>1971.5</v>
      </c>
      <c r="H162" s="117">
        <f>IFERROR(__xludf.DUMMYFUNCTION("GOOGLEFINANCE(B162,""LOW52"")"),1372.55)</f>
        <v>1372.55</v>
      </c>
      <c r="I162" s="117">
        <f>IFERROR(__xludf.DUMMYFUNCTION("GOOGLEFINANCE(B162,""HIGH52"")"),1997.3)</f>
        <v>1997.3</v>
      </c>
      <c r="J162" s="117">
        <f>IFERROR(__xludf.DUMMYFUNCTION("GOOGLEFINANCE(B162,""VOLUME"")"),1094086.0)</f>
        <v>1094086</v>
      </c>
      <c r="K162" s="117">
        <f>IFERROR(__xludf.DUMMYFUNCTION("GOOGLEFINANCE(B162,""marketcap"")"),1.974756170946E12)</f>
        <v>1974756170946</v>
      </c>
      <c r="L162" s="117">
        <f>IFERROR(__xludf.DUMMYFUNCTION("GOOGLEFINANCE(B162,""shares"")"),1.0E9)</f>
        <v>1000000000</v>
      </c>
      <c r="M162" s="117">
        <f>IFERROR(__xludf.DUMMYFUNCTION("GOOGLEFINANCE(B162,""EPS"")"),24.46)</f>
        <v>24.46</v>
      </c>
      <c r="N162" s="117">
        <f>IFERROR(__xludf.DUMMYFUNCTION("GOOGLEFINANCE(B162,""PE"")"),80.54)</f>
        <v>80.54</v>
      </c>
      <c r="O162" s="10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</row>
    <row r="163">
      <c r="A163" s="117">
        <v>160.0</v>
      </c>
      <c r="B163" s="6" t="s">
        <v>302</v>
      </c>
      <c r="C163" s="6"/>
      <c r="D163" s="6"/>
      <c r="E163" s="6"/>
      <c r="F163" s="117">
        <f>IFERROR(__xludf.DUMMYFUNCTION("GOOGLEFINANCE(B163,""price"")"),959.85)</f>
        <v>959.85</v>
      </c>
      <c r="G163" s="117">
        <f>IFERROR(__xludf.DUMMYFUNCTION("GOOGLEFINANCE(B163,""closeyest"")"),957.6)</f>
        <v>957.6</v>
      </c>
      <c r="H163" s="117">
        <f>IFERROR(__xludf.DUMMYFUNCTION("GOOGLEFINANCE(B163,""LOW52"")"),680.0)</f>
        <v>680</v>
      </c>
      <c r="I163" s="117">
        <f>IFERROR(__xludf.DUMMYFUNCTION("GOOGLEFINANCE(B163,""HIGH52"")"),971.4)</f>
        <v>971.4</v>
      </c>
      <c r="J163" s="117">
        <f>IFERROR(__xludf.DUMMYFUNCTION("GOOGLEFINANCE(B163,""VOLUME"")"),2.3088096E7)</f>
        <v>23088096</v>
      </c>
      <c r="K163" s="117">
        <f>IFERROR(__xludf.DUMMYFUNCTION("GOOGLEFINANCE(B163,""marketcap"")"),8.86831528275E12)</f>
        <v>8868315282750</v>
      </c>
      <c r="L163" s="117">
        <f>IFERROR(__xludf.DUMMYFUNCTION("GOOGLEFINANCE(B163,""shares"")"),8.92460032E9)</f>
        <v>8924600320</v>
      </c>
      <c r="M163" s="117">
        <f>IFERROR(__xludf.DUMMYFUNCTION("GOOGLEFINANCE(B163,""EPS"")"),89.65)</f>
        <v>89.65</v>
      </c>
      <c r="N163" s="117">
        <f>IFERROR(__xludf.DUMMYFUNCTION("GOOGLEFINANCE(B163,""PE"")"),10.71)</f>
        <v>10.71</v>
      </c>
      <c r="O163" s="10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</row>
    <row r="164">
      <c r="A164" s="117">
        <v>161.0</v>
      </c>
      <c r="B164" s="6" t="s">
        <v>303</v>
      </c>
      <c r="C164" s="6"/>
      <c r="D164" s="6"/>
      <c r="E164" s="6"/>
      <c r="F164" s="117">
        <f>IFERROR(__xludf.DUMMYFUNCTION("GOOGLEFINANCE(B164,""price"")"),27400.0)</f>
        <v>27400</v>
      </c>
      <c r="G164" s="117">
        <f>IFERROR(__xludf.DUMMYFUNCTION("GOOGLEFINANCE(B164,""closeyest"")"),27600.0)</f>
        <v>27600</v>
      </c>
      <c r="H164" s="117">
        <f>IFERROR(__xludf.DUMMYFUNCTION("GOOGLEFINANCE(B164,""LOW52"")"),23500.0)</f>
        <v>23500</v>
      </c>
      <c r="I164" s="117">
        <f>IFERROR(__xludf.DUMMYFUNCTION("GOOGLEFINANCE(B164,""HIGH52"")"),32490.0)</f>
        <v>32490</v>
      </c>
      <c r="J164" s="117">
        <f>IFERROR(__xludf.DUMMYFUNCTION("GOOGLEFINANCE(B164,""VOLUME"")"),15109.0)</f>
        <v>15109</v>
      </c>
      <c r="K164" s="117">
        <f>IFERROR(__xludf.DUMMYFUNCTION("GOOGLEFINANCE(B164,""marketcap"")"),9.89147562348E11)</f>
        <v>989147562348</v>
      </c>
      <c r="L164" s="117">
        <f>IFERROR(__xludf.DUMMYFUNCTION("GOOGLEFINANCE(B164,""shares"")"),3.4837224E7)</f>
        <v>34837224</v>
      </c>
      <c r="M164" s="117">
        <f>IFERROR(__xludf.DUMMYFUNCTION("GOOGLEFINANCE(B164,""EPS"")"),476.39)</f>
        <v>476.39</v>
      </c>
      <c r="N164" s="117">
        <f>IFERROR(__xludf.DUMMYFUNCTION("GOOGLEFINANCE(B164,""PE"")"),57.52)</f>
        <v>57.52</v>
      </c>
      <c r="O164" s="10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</row>
    <row r="165">
      <c r="A165" s="117">
        <v>162.0</v>
      </c>
      <c r="B165" s="6" t="s">
        <v>15</v>
      </c>
      <c r="C165" s="6"/>
      <c r="D165" s="6"/>
      <c r="E165" s="6"/>
      <c r="F165" s="117">
        <f>IFERROR(__xludf.DUMMYFUNCTION("GOOGLEFINANCE(B165,""price"")"),791.95)</f>
        <v>791.95</v>
      </c>
      <c r="G165" s="117">
        <f>IFERROR(__xludf.DUMMYFUNCTION("GOOGLEFINANCE(B165,""closeyest"")"),796.5)</f>
        <v>796.5</v>
      </c>
      <c r="H165" s="117">
        <f>IFERROR(__xludf.DUMMYFUNCTION("GOOGLEFINANCE(B165,""LOW52"")"),493.35)</f>
        <v>493.35</v>
      </c>
      <c r="I165" s="117">
        <f>IFERROR(__xludf.DUMMYFUNCTION("GOOGLEFINANCE(B165,""HIGH52"")"),814.15)</f>
        <v>814.15</v>
      </c>
      <c r="J165" s="117">
        <f>IFERROR(__xludf.DUMMYFUNCTION("GOOGLEFINANCE(B165,""VOLUME"")"),1.0930939E7)</f>
        <v>10930939</v>
      </c>
      <c r="K165" s="117">
        <f>IFERROR(__xludf.DUMMYFUNCTION("GOOGLEFINANCE(B165,""marketcap"")"),1.493235524751E12)</f>
        <v>1493235524751</v>
      </c>
      <c r="L165" s="17" t="str">
        <f>IFERROR(__xludf.DUMMYFUNCTION("GOOGLEFINANCE(B165,""shares"")"),"#N/A")</f>
        <v>#N/A</v>
      </c>
      <c r="M165" s="117">
        <f>IFERROR(__xludf.DUMMYFUNCTION("GOOGLEFINANCE(B165,""EPS"")"),52.38)</f>
        <v>52.38</v>
      </c>
      <c r="N165" s="117">
        <f>IFERROR(__xludf.DUMMYFUNCTION("GOOGLEFINANCE(B165,""PE"")"),15.12)</f>
        <v>15.12</v>
      </c>
      <c r="O165" s="10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</row>
    <row r="166">
      <c r="A166" s="117">
        <v>163.0</v>
      </c>
      <c r="B166" s="6" t="s">
        <v>304</v>
      </c>
      <c r="C166" s="6"/>
      <c r="D166" s="6"/>
      <c r="E166" s="6"/>
      <c r="F166" s="117">
        <f>IFERROR(__xludf.DUMMYFUNCTION("GOOGLEFINANCE(B166,""price"")"),3084.0)</f>
        <v>3084</v>
      </c>
      <c r="G166" s="117">
        <f>IFERROR(__xludf.DUMMYFUNCTION("GOOGLEFINANCE(B166,""closeyest"")"),3119.6)</f>
        <v>3119.6</v>
      </c>
      <c r="H166" s="117">
        <f>IFERROR(__xludf.DUMMYFUNCTION("GOOGLEFINANCE(B166,""LOW52"")"),2450.0)</f>
        <v>2450</v>
      </c>
      <c r="I166" s="117">
        <f>IFERROR(__xludf.DUMMYFUNCTION("GOOGLEFINANCE(B166,""HIGH52"")"),4717.09)</f>
        <v>4717.09</v>
      </c>
      <c r="J166" s="117">
        <f>IFERROR(__xludf.DUMMYFUNCTION("GOOGLEFINANCE(B166,""VOLUME"")"),297842.0)</f>
        <v>297842</v>
      </c>
      <c r="K166" s="117">
        <f>IFERROR(__xludf.DUMMYFUNCTION("GOOGLEFINANCE(B166,""marketcap"")"),1.098275622E12)</f>
        <v>1098275622000</v>
      </c>
      <c r="L166" s="117">
        <f>IFERROR(__xludf.DUMMYFUNCTION("GOOGLEFINANCE(B166,""shares"")"),3.56120256E8)</f>
        <v>356120256</v>
      </c>
      <c r="M166" s="117">
        <f>IFERROR(__xludf.DUMMYFUNCTION("GOOGLEFINANCE(B166,""EPS"")"),68.78)</f>
        <v>68.78</v>
      </c>
      <c r="N166" s="117">
        <f>IFERROR(__xludf.DUMMYFUNCTION("GOOGLEFINANCE(B166,""PE"")"),44.84)</f>
        <v>44.84</v>
      </c>
      <c r="O166" s="10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</row>
    <row r="167">
      <c r="A167" s="117">
        <v>164.0</v>
      </c>
      <c r="B167" s="6" t="s">
        <v>305</v>
      </c>
      <c r="C167" s="6"/>
      <c r="D167" s="6"/>
      <c r="E167" s="6"/>
      <c r="F167" s="117">
        <f>IFERROR(__xludf.DUMMYFUNCTION("GOOGLEFINANCE(B167,""price"")"),2897.0)</f>
        <v>2897</v>
      </c>
      <c r="G167" s="117">
        <f>IFERROR(__xludf.DUMMYFUNCTION("GOOGLEFINANCE(B167,""closeyest"")"),2941.7)</f>
        <v>2941.7</v>
      </c>
      <c r="H167" s="117">
        <f>IFERROR(__xludf.DUMMYFUNCTION("GOOGLEFINANCE(B167,""LOW52"")"),2126.85)</f>
        <v>2126.85</v>
      </c>
      <c r="I167" s="117">
        <f>IFERROR(__xludf.DUMMYFUNCTION("GOOGLEFINANCE(B167,""HIGH52"")"),3325.0)</f>
        <v>3325</v>
      </c>
      <c r="J167" s="117">
        <f>IFERROR(__xludf.DUMMYFUNCTION("GOOGLEFINANCE(B167,""VOLUME"")"),232346.0)</f>
        <v>232346</v>
      </c>
      <c r="K167" s="117">
        <f>IFERROR(__xludf.DUMMYFUNCTION("GOOGLEFINANCE(B167,""marketcap"")"),8.59579627418E11)</f>
        <v>859579627418</v>
      </c>
      <c r="L167" s="117">
        <f>IFERROR(__xludf.DUMMYFUNCTION("GOOGLEFINANCE(B167,""shares"")"),5.748E7)</f>
        <v>57480000</v>
      </c>
      <c r="M167" s="117">
        <f>IFERROR(__xludf.DUMMYFUNCTION("GOOGLEFINANCE(B167,""EPS"")"),54.57)</f>
        <v>54.57</v>
      </c>
      <c r="N167" s="117">
        <f>IFERROR(__xludf.DUMMYFUNCTION("GOOGLEFINANCE(B167,""PE"")"),53.08)</f>
        <v>53.08</v>
      </c>
      <c r="O167" s="10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</row>
    <row r="168">
      <c r="A168" s="117">
        <v>165.0</v>
      </c>
      <c r="B168" s="6" t="s">
        <v>306</v>
      </c>
      <c r="C168" s="6"/>
      <c r="D168" s="6"/>
      <c r="E168" s="6"/>
      <c r="F168" s="117">
        <f>IFERROR(__xludf.DUMMYFUNCTION("GOOGLEFINANCE(B168,""price"")"),0.5)</f>
        <v>0.5</v>
      </c>
      <c r="G168" s="117">
        <f>IFERROR(__xludf.DUMMYFUNCTION("GOOGLEFINANCE(B168,""closeyest"")"),0.5)</f>
        <v>0.5</v>
      </c>
      <c r="H168" s="117">
        <f>IFERROR(__xludf.DUMMYFUNCTION("GOOGLEFINANCE(B168,""LOW52"")"),0.02)</f>
        <v>0.02</v>
      </c>
      <c r="I168" s="117">
        <f>IFERROR(__xludf.DUMMYFUNCTION("GOOGLEFINANCE(B168,""HIGH52"")"),0.5)</f>
        <v>0.5</v>
      </c>
      <c r="J168" s="117">
        <f>IFERROR(__xludf.DUMMYFUNCTION("GOOGLEFINANCE(B168,""VOLUME"")"),0.0)</f>
        <v>0</v>
      </c>
      <c r="K168" s="117">
        <f>IFERROR(__xludf.DUMMYFUNCTION("GOOGLEFINANCE(B168,""marketcap"")"),2.385589E7)</f>
        <v>23855890</v>
      </c>
      <c r="L168" s="17" t="str">
        <f>IFERROR(__xludf.DUMMYFUNCTION("GOOGLEFINANCE(B168,""shares"")"),"#N/A")</f>
        <v>#N/A</v>
      </c>
      <c r="M168" s="117">
        <f>IFERROR(__xludf.DUMMYFUNCTION("GOOGLEFINANCE(B168,""EPS"")"),-0.01)</f>
        <v>-0.01</v>
      </c>
      <c r="N168" s="17" t="str">
        <f>IFERROR(__xludf.DUMMYFUNCTION("GOOGLEFINANCE(B168,""PE"")"),"#N/A")</f>
        <v>#N/A</v>
      </c>
      <c r="O168" s="10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</row>
    <row r="169">
      <c r="A169" s="117">
        <v>166.0</v>
      </c>
      <c r="B169" s="6" t="s">
        <v>307</v>
      </c>
      <c r="C169" s="6"/>
      <c r="D169" s="6"/>
      <c r="E169" s="6"/>
      <c r="F169" s="117">
        <f>IFERROR(__xludf.DUMMYFUNCTION("GOOGLEFINANCE(B169,""price"")"),1686.0)</f>
        <v>1686</v>
      </c>
      <c r="G169" s="117">
        <f>IFERROR(__xludf.DUMMYFUNCTION("GOOGLEFINANCE(B169,""closeyest"")"),1690.0)</f>
        <v>1690</v>
      </c>
      <c r="H169" s="117">
        <f>IFERROR(__xludf.DUMMYFUNCTION("GOOGLEFINANCE(B169,""LOW52"")"),1548.0)</f>
        <v>1548</v>
      </c>
      <c r="I169" s="117">
        <f>IFERROR(__xludf.DUMMYFUNCTION("GOOGLEFINANCE(B169,""HIGH52"")"),1910.0)</f>
        <v>1910</v>
      </c>
      <c r="J169" s="117">
        <f>IFERROR(__xludf.DUMMYFUNCTION("GOOGLEFINANCE(B169,""VOLUME"")"),3389867.0)</f>
        <v>3389867</v>
      </c>
      <c r="K169" s="117">
        <f>IFERROR(__xludf.DUMMYFUNCTION("GOOGLEFINANCE(B169,""marketcap"")"),4.0429915405E12)</f>
        <v>4042991540500</v>
      </c>
      <c r="L169" s="117">
        <f>IFERROR(__xludf.DUMMYFUNCTION("GOOGLEFINANCE(B169,""shares"")"),0.0)</f>
        <v>0</v>
      </c>
      <c r="M169" s="117">
        <f>IFERROR(__xludf.DUMMYFUNCTION("GOOGLEFINANCE(B169,""EPS"")"),43.25)</f>
        <v>43.25</v>
      </c>
      <c r="N169" s="117">
        <f>IFERROR(__xludf.DUMMYFUNCTION("GOOGLEFINANCE(B169,""PE"")"),38.98)</f>
        <v>38.98</v>
      </c>
      <c r="O169" s="10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</row>
    <row r="170">
      <c r="A170" s="117">
        <v>167.0</v>
      </c>
      <c r="B170" s="6" t="s">
        <v>308</v>
      </c>
      <c r="C170" s="6"/>
      <c r="D170" s="6"/>
      <c r="E170" s="6"/>
      <c r="F170" s="117">
        <f>IFERROR(__xludf.DUMMYFUNCTION("GOOGLEFINANCE(B170,""price"")"),548.5)</f>
        <v>548.5</v>
      </c>
      <c r="G170" s="117">
        <f>IFERROR(__xludf.DUMMYFUNCTION("GOOGLEFINANCE(B170,""closeyest"")"),561.65)</f>
        <v>561.65</v>
      </c>
      <c r="H170" s="117">
        <f>IFERROR(__xludf.DUMMYFUNCTION("GOOGLEFINANCE(B170,""LOW52"")"),518.05)</f>
        <v>518.05</v>
      </c>
      <c r="I170" s="117">
        <f>IFERROR(__xludf.DUMMYFUNCTION("GOOGLEFINANCE(B170,""HIGH52"")"),782.9)</f>
        <v>782.9</v>
      </c>
      <c r="J170" s="117">
        <f>IFERROR(__xludf.DUMMYFUNCTION("GOOGLEFINANCE(B170,""VOLUME"")"),209849.0)</f>
        <v>209849</v>
      </c>
      <c r="K170" s="117">
        <f>IFERROR(__xludf.DUMMYFUNCTION("GOOGLEFINANCE(B170,""marketcap"")"),2.16656558907E11)</f>
        <v>216656558907</v>
      </c>
      <c r="L170" s="117">
        <f>IFERROR(__xludf.DUMMYFUNCTION("GOOGLEFINANCE(B170,""shares"")"),3.94084608E8)</f>
        <v>394084608</v>
      </c>
      <c r="M170" s="117">
        <f>IFERROR(__xludf.DUMMYFUNCTION("GOOGLEFINANCE(B170,""EPS"")"),42.44)</f>
        <v>42.44</v>
      </c>
      <c r="N170" s="117">
        <f>IFERROR(__xludf.DUMMYFUNCTION("GOOGLEFINANCE(B170,""PE"")"),12.92)</f>
        <v>12.92</v>
      </c>
      <c r="O170" s="10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</row>
    <row r="171">
      <c r="A171" s="117">
        <v>168.0</v>
      </c>
      <c r="B171" s="6" t="s">
        <v>309</v>
      </c>
      <c r="C171" s="6"/>
      <c r="D171" s="6"/>
      <c r="E171" s="6"/>
      <c r="F171" s="117">
        <f>IFERROR(__xludf.DUMMYFUNCTION("GOOGLEFINANCE(B171,""price"")"),617.2)</f>
        <v>617.2</v>
      </c>
      <c r="G171" s="117">
        <f>IFERROR(__xludf.DUMMYFUNCTION("GOOGLEFINANCE(B171,""closeyest"")"),646.55)</f>
        <v>646.55</v>
      </c>
      <c r="H171" s="117">
        <f>IFERROR(__xludf.DUMMYFUNCTION("GOOGLEFINANCE(B171,""LOW52"")"),599.55)</f>
        <v>599.55</v>
      </c>
      <c r="I171" s="117">
        <f>IFERROR(__xludf.DUMMYFUNCTION("GOOGLEFINANCE(B171,""HIGH52"")"),960.6)</f>
        <v>960.6</v>
      </c>
      <c r="J171" s="117">
        <f>IFERROR(__xludf.DUMMYFUNCTION("GOOGLEFINANCE(B171,""VOLUME"")"),1642849.0)</f>
        <v>1642849</v>
      </c>
      <c r="K171" s="117">
        <f>IFERROR(__xludf.DUMMYFUNCTION("GOOGLEFINANCE(B171,""marketcap"")"),2.48633081596E11)</f>
        <v>248633081596</v>
      </c>
      <c r="L171" s="117">
        <f>IFERROR(__xludf.DUMMYFUNCTION("GOOGLEFINANCE(B171,""shares"")"),2.0E8)</f>
        <v>200000000</v>
      </c>
      <c r="M171" s="117">
        <f>IFERROR(__xludf.DUMMYFUNCTION("GOOGLEFINANCE(B171,""EPS"")"),12.58)</f>
        <v>12.58</v>
      </c>
      <c r="N171" s="117">
        <f>IFERROR(__xludf.DUMMYFUNCTION("GOOGLEFINANCE(B171,""PE"")"),49.05)</f>
        <v>49.05</v>
      </c>
      <c r="O171" s="10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</row>
    <row r="172">
      <c r="A172" s="117">
        <v>169.0</v>
      </c>
      <c r="B172" s="6" t="s">
        <v>310</v>
      </c>
      <c r="C172" s="6"/>
      <c r="D172" s="6"/>
      <c r="E172" s="6"/>
      <c r="F172" s="117">
        <f>IFERROR(__xludf.DUMMYFUNCTION("GOOGLEFINANCE(B172,""price"")"),870.9)</f>
        <v>870.9</v>
      </c>
      <c r="G172" s="117">
        <f>IFERROR(__xludf.DUMMYFUNCTION("GOOGLEFINANCE(B172,""closeyest"")"),892.35)</f>
        <v>892.35</v>
      </c>
      <c r="H172" s="117">
        <f>IFERROR(__xludf.DUMMYFUNCTION("GOOGLEFINANCE(B172,""LOW52"")"),756.0)</f>
        <v>756</v>
      </c>
      <c r="I172" s="117">
        <f>IFERROR(__xludf.DUMMYFUNCTION("GOOGLEFINANCE(B172,""HIGH52"")"),1159.2)</f>
        <v>1159.2</v>
      </c>
      <c r="J172" s="117">
        <f>IFERROR(__xludf.DUMMYFUNCTION("GOOGLEFINANCE(B172,""VOLUME"")"),247626.0)</f>
        <v>247626</v>
      </c>
      <c r="K172" s="117">
        <f>IFERROR(__xludf.DUMMYFUNCTION("GOOGLEFINANCE(B172,""marketcap"")"),2.22295853627E11)</f>
        <v>222295853627</v>
      </c>
      <c r="L172" s="117">
        <f>IFERROR(__xludf.DUMMYFUNCTION("GOOGLEFINANCE(B172,""shares"")"),2.5482E8)</f>
        <v>254820000</v>
      </c>
      <c r="M172" s="117">
        <f>IFERROR(__xludf.DUMMYFUNCTION("GOOGLEFINANCE(B172,""EPS"")"),9.44)</f>
        <v>9.44</v>
      </c>
      <c r="N172" s="117">
        <f>IFERROR(__xludf.DUMMYFUNCTION("GOOGLEFINANCE(B172,""PE"")"),92.3)</f>
        <v>92.3</v>
      </c>
      <c r="O172" s="10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</row>
    <row r="173">
      <c r="A173" s="117">
        <v>170.0</v>
      </c>
      <c r="B173" s="6" t="s">
        <v>311</v>
      </c>
      <c r="C173" s="6"/>
      <c r="D173" s="6"/>
      <c r="E173" s="6"/>
      <c r="F173" s="117">
        <f>IFERROR(__xludf.DUMMYFUNCTION("GOOGLEFINANCE(B173,""price"")"),1843.7)</f>
        <v>1843.7</v>
      </c>
      <c r="G173" s="117">
        <f>IFERROR(__xludf.DUMMYFUNCTION("GOOGLEFINANCE(B173,""closeyest"")"),1905.4)</f>
        <v>1905.4</v>
      </c>
      <c r="H173" s="117">
        <f>IFERROR(__xludf.DUMMYFUNCTION("GOOGLEFINANCE(B173,""LOW52"")"),1291.0)</f>
        <v>1291</v>
      </c>
      <c r="I173" s="117">
        <f>IFERROR(__xludf.DUMMYFUNCTION("GOOGLEFINANCE(B173,""HIGH52"")"),2004.0)</f>
        <v>2004</v>
      </c>
      <c r="J173" s="117">
        <f>IFERROR(__xludf.DUMMYFUNCTION("GOOGLEFINANCE(B173,""VOLUME"")"),244304.0)</f>
        <v>244304</v>
      </c>
      <c r="K173" s="117">
        <f>IFERROR(__xludf.DUMMYFUNCTION("GOOGLEFINANCE(B173,""marketcap"")"),5.25454486083E11)</f>
        <v>525454486083</v>
      </c>
      <c r="L173" s="117">
        <f>IFERROR(__xludf.DUMMYFUNCTION("GOOGLEFINANCE(B173,""shares"")"),2.85E8)</f>
        <v>285000000</v>
      </c>
      <c r="M173" s="117">
        <f>IFERROR(__xludf.DUMMYFUNCTION("GOOGLEFINANCE(B173,""EPS"")"),57.82)</f>
        <v>57.82</v>
      </c>
      <c r="N173" s="117">
        <f>IFERROR(__xludf.DUMMYFUNCTION("GOOGLEFINANCE(B173,""PE"")"),31.89)</f>
        <v>31.89</v>
      </c>
      <c r="O173" s="10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</row>
    <row r="174">
      <c r="A174" s="117">
        <v>171.0</v>
      </c>
      <c r="B174" s="6" t="s">
        <v>312</v>
      </c>
      <c r="C174" s="6"/>
      <c r="D174" s="6"/>
      <c r="E174" s="6"/>
      <c r="F174" s="117">
        <f>IFERROR(__xludf.DUMMYFUNCTION("GOOGLEFINANCE(B174,""price"")"),1180.5)</f>
        <v>1180.5</v>
      </c>
      <c r="G174" s="117">
        <f>IFERROR(__xludf.DUMMYFUNCTION("GOOGLEFINANCE(B174,""closeyest"")"),1179.3)</f>
        <v>1179.3</v>
      </c>
      <c r="H174" s="117">
        <f>IFERROR(__xludf.DUMMYFUNCTION("GOOGLEFINANCE(B174,""LOW52"")"),882.9)</f>
        <v>882.9</v>
      </c>
      <c r="I174" s="117">
        <f>IFERROR(__xludf.DUMMYFUNCTION("GOOGLEFINANCE(B174,""HIGH52"")"),1202.8)</f>
        <v>1202.8</v>
      </c>
      <c r="J174" s="117">
        <f>IFERROR(__xludf.DUMMYFUNCTION("GOOGLEFINANCE(B174,""VOLUME"")"),2401724.0)</f>
        <v>2401724</v>
      </c>
      <c r="K174" s="117">
        <f>IFERROR(__xludf.DUMMYFUNCTION("GOOGLEFINANCE(B174,""marketcap"")"),1.173774083026E12)</f>
        <v>1173774083026</v>
      </c>
      <c r="L174" s="17" t="str">
        <f>IFERROR(__xludf.DUMMYFUNCTION("GOOGLEFINANCE(B174,""shares"")"),"#N/A")</f>
        <v>#N/A</v>
      </c>
      <c r="M174" s="117">
        <f>IFERROR(__xludf.DUMMYFUNCTION("GOOGLEFINANCE(B174,""EPS"")"),13.76)</f>
        <v>13.76</v>
      </c>
      <c r="N174" s="117">
        <f>IFERROR(__xludf.DUMMYFUNCTION("GOOGLEFINANCE(B174,""PE"")"),85.77)</f>
        <v>85.77</v>
      </c>
      <c r="O174" s="10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</row>
    <row r="175">
      <c r="A175" s="117">
        <v>172.0</v>
      </c>
      <c r="B175" s="6" t="s">
        <v>313</v>
      </c>
      <c r="C175" s="6"/>
      <c r="D175" s="6"/>
      <c r="E175" s="6"/>
      <c r="F175" s="117" t="str">
        <f>IFERROR(__xludf.DUMMYFUNCTION("GOOGLEFINANCE(B175,""price"")"),"#N/A")</f>
        <v>#N/A</v>
      </c>
      <c r="G175" s="117" t="str">
        <f>IFERROR(__xludf.DUMMYFUNCTION("GOOGLEFINANCE(B175,""closeyest"")"),"#N/A")</f>
        <v>#N/A</v>
      </c>
      <c r="H175" s="117" t="str">
        <f>IFERROR(__xludf.DUMMYFUNCTION("GOOGLEFINANCE(B175,""LOW52"")"),"#N/A")</f>
        <v>#N/A</v>
      </c>
      <c r="I175" s="117" t="str">
        <f>IFERROR(__xludf.DUMMYFUNCTION("GOOGLEFINANCE(B175,""HIGH52"")"),"#N/A")</f>
        <v>#N/A</v>
      </c>
      <c r="J175" s="117" t="str">
        <f>IFERROR(__xludf.DUMMYFUNCTION("GOOGLEFINANCE(B175,""VOLUME"")"),"#N/A")</f>
        <v>#N/A</v>
      </c>
      <c r="K175" s="117" t="str">
        <f>IFERROR(__xludf.DUMMYFUNCTION("GOOGLEFINANCE(B175,""marketcap"")"),"#N/A")</f>
        <v>#N/A</v>
      </c>
      <c r="L175" s="117" t="str">
        <f>IFERROR(__xludf.DUMMYFUNCTION("GOOGLEFINANCE(B175,""shares"")"),"#N/A")</f>
        <v>#N/A</v>
      </c>
      <c r="M175" s="117" t="str">
        <f>IFERROR(__xludf.DUMMYFUNCTION("GOOGLEFINANCE(B175,""EPS"")"),"#N/A")</f>
        <v>#N/A</v>
      </c>
      <c r="N175" s="117" t="str">
        <f>IFERROR(__xludf.DUMMYFUNCTION("GOOGLEFINANCE(B175,""PE"")"),"#N/A")</f>
        <v>#N/A</v>
      </c>
      <c r="O175" s="10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</row>
    <row r="176">
      <c r="A176" s="117">
        <v>173.0</v>
      </c>
      <c r="B176" s="6" t="s">
        <v>314</v>
      </c>
      <c r="C176" s="6"/>
      <c r="D176" s="6"/>
      <c r="E176" s="6"/>
      <c r="F176" s="117">
        <f>IFERROR(__xludf.DUMMYFUNCTION("GOOGLEFINANCE(B176,""price"")"),390.8)</f>
        <v>390.8</v>
      </c>
      <c r="G176" s="117">
        <f>IFERROR(__xludf.DUMMYFUNCTION("GOOGLEFINANCE(B176,""closeyest"")"),400.6)</f>
        <v>400.6</v>
      </c>
      <c r="H176" s="117">
        <f>IFERROR(__xludf.DUMMYFUNCTION("GOOGLEFINANCE(B176,""LOW52"")"),326.35)</f>
        <v>326.35</v>
      </c>
      <c r="I176" s="117">
        <f>IFERROR(__xludf.DUMMYFUNCTION("GOOGLEFINANCE(B176,""HIGH52"")"),454.75)</f>
        <v>454.75</v>
      </c>
      <c r="J176" s="117">
        <f>IFERROR(__xludf.DUMMYFUNCTION("GOOGLEFINANCE(B176,""VOLUME"")"),5024909.0)</f>
        <v>5024909</v>
      </c>
      <c r="K176" s="117">
        <f>IFERROR(__xludf.DUMMYFUNCTION("GOOGLEFINANCE(B176,""marketcap"")"),1.251454499847E12)</f>
        <v>1251454499847</v>
      </c>
      <c r="L176" s="117">
        <f>IFERROR(__xludf.DUMMYFUNCTION("GOOGLEFINANCE(B176,""shares"")"),2.704999936E9)</f>
        <v>2704999936</v>
      </c>
      <c r="M176" s="117">
        <f>IFERROR(__xludf.DUMMYFUNCTION("GOOGLEFINANCE(B176,""EPS"")"),12.69)</f>
        <v>12.69</v>
      </c>
      <c r="N176" s="117">
        <f>IFERROR(__xludf.DUMMYFUNCTION("GOOGLEFINANCE(B176,""PE"")"),30.8)</f>
        <v>30.8</v>
      </c>
      <c r="O176" s="10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</row>
    <row r="177">
      <c r="A177" s="117">
        <v>174.0</v>
      </c>
      <c r="B177" s="6" t="s">
        <v>117</v>
      </c>
      <c r="C177" s="6"/>
      <c r="D177" s="6"/>
      <c r="E177" s="6"/>
      <c r="F177" s="117">
        <f>IFERROR(__xludf.DUMMYFUNCTION("GOOGLEFINANCE(B177,""price"")"),177.35)</f>
        <v>177.35</v>
      </c>
      <c r="G177" s="117">
        <f>IFERROR(__xludf.DUMMYFUNCTION("GOOGLEFINANCE(B177,""closeyest"")"),179.29)</f>
        <v>179.29</v>
      </c>
      <c r="H177" s="117">
        <f>IFERROR(__xludf.DUMMYFUNCTION("GOOGLEFINANCE(B177,""LOW52"")"),122.62)</f>
        <v>122.62</v>
      </c>
      <c r="I177" s="117">
        <f>IFERROR(__xludf.DUMMYFUNCTION("GOOGLEFINANCE(B177,""HIGH52"")"),186.94)</f>
        <v>186.94</v>
      </c>
      <c r="J177" s="117">
        <f>IFERROR(__xludf.DUMMYFUNCTION("GOOGLEFINANCE(B177,""VOLUME"")"),2.3664538E7)</f>
        <v>23664538</v>
      </c>
      <c r="K177" s="117">
        <f>IFERROR(__xludf.DUMMYFUNCTION("GOOGLEFINANCE(B177,""marketcap"")"),2.212069365E12)</f>
        <v>2212069365000</v>
      </c>
      <c r="L177" s="117">
        <f>IFERROR(__xludf.DUMMYFUNCTION("GOOGLEFINANCE(B177,""shares"")"),0.0)</f>
        <v>0</v>
      </c>
      <c r="M177" s="117">
        <f>IFERROR(__xludf.DUMMYFUNCTION("GOOGLEFINANCE(B177,""EPS"")"),3.64)</f>
        <v>3.64</v>
      </c>
      <c r="N177" s="117">
        <f>IFERROR(__xludf.DUMMYFUNCTION("GOOGLEFINANCE(B177,""PE"")"),48.69)</f>
        <v>48.69</v>
      </c>
      <c r="O177" s="10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</row>
    <row r="178">
      <c r="A178" s="117">
        <v>175.0</v>
      </c>
      <c r="B178" s="6" t="s">
        <v>315</v>
      </c>
      <c r="C178" s="6"/>
      <c r="D178" s="6"/>
      <c r="E178" s="6"/>
      <c r="F178" s="117">
        <f>IFERROR(__xludf.DUMMYFUNCTION("GOOGLEFINANCE(B178,""price"")"),36.24)</f>
        <v>36.24</v>
      </c>
      <c r="G178" s="117">
        <f>IFERROR(__xludf.DUMMYFUNCTION("GOOGLEFINANCE(B178,""closeyest"")"),35.3)</f>
        <v>35.3</v>
      </c>
      <c r="H178" s="117">
        <f>IFERROR(__xludf.DUMMYFUNCTION("GOOGLEFINANCE(B178,""LOW52"")"),32.85)</f>
        <v>32.85</v>
      </c>
      <c r="I178" s="117">
        <f>IFERROR(__xludf.DUMMYFUNCTION("GOOGLEFINANCE(B178,""HIGH52"")"),47.51)</f>
        <v>47.51</v>
      </c>
      <c r="J178" s="117">
        <f>IFERROR(__xludf.DUMMYFUNCTION("GOOGLEFINANCE(B178,""VOLUME"")"),11675.0)</f>
        <v>11675</v>
      </c>
      <c r="K178" s="117">
        <f>IFERROR(__xludf.DUMMYFUNCTION("GOOGLEFINANCE(B178,""marketcap"")"),5.36037461E8)</f>
        <v>536037461</v>
      </c>
      <c r="L178" s="117">
        <f>IFERROR(__xludf.DUMMYFUNCTION("GOOGLEFINANCE(B178,""shares"")"),1.4791321E7)</f>
        <v>14791321</v>
      </c>
      <c r="M178" s="117">
        <f>IFERROR(__xludf.DUMMYFUNCTION("GOOGLEFINANCE(B178,""EPS"")"),0.3)</f>
        <v>0.3</v>
      </c>
      <c r="N178" s="117">
        <f>IFERROR(__xludf.DUMMYFUNCTION("GOOGLEFINANCE(B178,""PE"")"),121.92)</f>
        <v>121.92</v>
      </c>
      <c r="O178" s="10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</row>
    <row r="179">
      <c r="A179" s="117">
        <v>176.0</v>
      </c>
      <c r="B179" s="6" t="s">
        <v>316</v>
      </c>
      <c r="C179" s="6"/>
      <c r="D179" s="6"/>
      <c r="E179" s="6"/>
      <c r="F179" s="117">
        <f>IFERROR(__xludf.DUMMYFUNCTION("GOOGLEFINANCE(B179,""price"")"),1415.9)</f>
        <v>1415.9</v>
      </c>
      <c r="G179" s="117">
        <f>IFERROR(__xludf.DUMMYFUNCTION("GOOGLEFINANCE(B179,""closeyest"")"),1409.2)</f>
        <v>1409.2</v>
      </c>
      <c r="H179" s="117">
        <f>IFERROR(__xludf.DUMMYFUNCTION("GOOGLEFINANCE(B179,""LOW52"")"),1209.4)</f>
        <v>1209.4</v>
      </c>
      <c r="I179" s="117">
        <f>IFERROR(__xludf.DUMMYFUNCTION("GOOGLEFINANCE(B179,""HIGH52"")"),1807.7)</f>
        <v>1807.7</v>
      </c>
      <c r="J179" s="117">
        <f>IFERROR(__xludf.DUMMYFUNCTION("GOOGLEFINANCE(B179,""VOLUME"")"),2502412.0)</f>
        <v>2502412</v>
      </c>
      <c r="K179" s="117">
        <f>IFERROR(__xludf.DUMMYFUNCTION("GOOGLEFINANCE(B179,""marketcap"")"),1.387037185596E12)</f>
        <v>1387037185596</v>
      </c>
      <c r="L179" s="117">
        <f>IFERROR(__xludf.DUMMYFUNCTION("GOOGLEFINANCE(B179,""shares"")"),9.808432E8)</f>
        <v>980843200</v>
      </c>
      <c r="M179" s="117">
        <f>IFERROR(__xludf.DUMMYFUNCTION("GOOGLEFINANCE(B179,""EPS"")"),50.55)</f>
        <v>50.55</v>
      </c>
      <c r="N179" s="117">
        <f>IFERROR(__xludf.DUMMYFUNCTION("GOOGLEFINANCE(B179,""PE"")"),28.01)</f>
        <v>28.01</v>
      </c>
      <c r="O179" s="10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</row>
    <row r="180">
      <c r="A180" s="117">
        <v>177.0</v>
      </c>
      <c r="B180" s="6" t="s">
        <v>52</v>
      </c>
      <c r="C180" s="6"/>
      <c r="D180" s="6"/>
      <c r="E180" s="6"/>
      <c r="F180" s="117">
        <f>IFERROR(__xludf.DUMMYFUNCTION("GOOGLEFINANCE(B180,""price"")"),6.36)</f>
        <v>6.36</v>
      </c>
      <c r="G180" s="117">
        <f>IFERROR(__xludf.DUMMYFUNCTION("GOOGLEFINANCE(B180,""closeyest"")"),6.28)</f>
        <v>6.28</v>
      </c>
      <c r="H180" s="117">
        <f>IFERROR(__xludf.DUMMYFUNCTION("GOOGLEFINANCE(B180,""LOW52"")"),5.8)</f>
        <v>5.8</v>
      </c>
      <c r="I180" s="117">
        <f>IFERROR(__xludf.DUMMYFUNCTION("GOOGLEFINANCE(B180,""HIGH52"")"),11.3)</f>
        <v>11.3</v>
      </c>
      <c r="J180" s="117">
        <f>IFERROR(__xludf.DUMMYFUNCTION("GOOGLEFINANCE(B180,""VOLUME"")"),2660.0)</f>
        <v>2660</v>
      </c>
      <c r="K180" s="117">
        <f>IFERROR(__xludf.DUMMYFUNCTION("GOOGLEFINANCE(B180,""marketcap"")"),6.5959688E7)</f>
        <v>65959688</v>
      </c>
      <c r="L180" s="117">
        <f>IFERROR(__xludf.DUMMYFUNCTION("GOOGLEFINANCE(B180,""shares"")"),1.0371028E7)</f>
        <v>10371028</v>
      </c>
      <c r="M180" s="117">
        <f>IFERROR(__xludf.DUMMYFUNCTION("GOOGLEFINANCE(B180,""EPS"")"),0.55)</f>
        <v>0.55</v>
      </c>
      <c r="N180" s="17">
        <f>IFERROR(__xludf.DUMMYFUNCTION("GOOGLEFINANCE(B180,""PE"")"),11.66)</f>
        <v>11.66</v>
      </c>
      <c r="O180" s="10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</row>
    <row r="181">
      <c r="A181" s="117">
        <v>178.0</v>
      </c>
      <c r="B181" s="6" t="s">
        <v>317</v>
      </c>
      <c r="C181" s="6"/>
      <c r="D181" s="6"/>
      <c r="E181" s="6"/>
      <c r="F181" s="117">
        <f>IFERROR(__xludf.DUMMYFUNCTION("GOOGLEFINANCE(B181,""price"")"),3567.6)</f>
        <v>3567.6</v>
      </c>
      <c r="G181" s="117">
        <f>IFERROR(__xludf.DUMMYFUNCTION("GOOGLEFINANCE(B181,""closeyest"")"),3575.0)</f>
        <v>3575</v>
      </c>
      <c r="H181" s="117">
        <f>IFERROR(__xludf.DUMMYFUNCTION("GOOGLEFINANCE(B181,""LOW52"")"),2886.45)</f>
        <v>2886.45</v>
      </c>
      <c r="I181" s="117">
        <f>IFERROR(__xludf.DUMMYFUNCTION("GOOGLEFINANCE(B181,""HIGH52"")"),3787.9)</f>
        <v>3787.9</v>
      </c>
      <c r="J181" s="117">
        <f>IFERROR(__xludf.DUMMYFUNCTION("GOOGLEFINANCE(B181,""VOLUME"")"),173609.0)</f>
        <v>173609</v>
      </c>
      <c r="K181" s="117">
        <f>IFERROR(__xludf.DUMMYFUNCTION("GOOGLEFINANCE(B181,""marketcap"")"),1.2079940043E12)</f>
        <v>1207994004300</v>
      </c>
      <c r="L181" s="117">
        <f>IFERROR(__xludf.DUMMYFUNCTION("GOOGLEFINANCE(B181,""shares"")"),1.7E8)</f>
        <v>170000000</v>
      </c>
      <c r="M181" s="117">
        <f>IFERROR(__xludf.DUMMYFUNCTION("GOOGLEFINANCE(B181,""EPS"")"),59.15)</f>
        <v>59.15</v>
      </c>
      <c r="N181" s="117">
        <f>IFERROR(__xludf.DUMMYFUNCTION("GOOGLEFINANCE(B181,""PE"")"),60.31)</f>
        <v>60.31</v>
      </c>
      <c r="O181" s="10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</row>
    <row r="182">
      <c r="A182" s="117">
        <v>179.0</v>
      </c>
      <c r="B182" s="6" t="s">
        <v>318</v>
      </c>
      <c r="C182" s="6"/>
      <c r="D182" s="6"/>
      <c r="E182" s="6"/>
      <c r="F182" s="117">
        <f>IFERROR(__xludf.DUMMYFUNCTION("GOOGLEFINANCE(B182,""price"")"),1272.0)</f>
        <v>1272</v>
      </c>
      <c r="G182" s="117">
        <f>IFERROR(__xludf.DUMMYFUNCTION("GOOGLEFINANCE(B182,""closeyest"")"),1304.3)</f>
        <v>1304.3</v>
      </c>
      <c r="H182" s="117">
        <f>IFERROR(__xludf.DUMMYFUNCTION("GOOGLEFINANCE(B182,""LOW52"")"),1188.0)</f>
        <v>1188</v>
      </c>
      <c r="I182" s="117">
        <f>IFERROR(__xludf.DUMMYFUNCTION("GOOGLEFINANCE(B182,""HIGH52"")"),1798.0)</f>
        <v>1798</v>
      </c>
      <c r="J182" s="117">
        <f>IFERROR(__xludf.DUMMYFUNCTION("GOOGLEFINANCE(B182,""VOLUME"")"),675598.0)</f>
        <v>675598</v>
      </c>
      <c r="K182" s="117">
        <f>IFERROR(__xludf.DUMMYFUNCTION("GOOGLEFINANCE(B182,""marketcap"")"),6.42321650471E11)</f>
        <v>642321650471</v>
      </c>
      <c r="L182" s="117">
        <f>IFERROR(__xludf.DUMMYFUNCTION("GOOGLEFINANCE(B182,""shares"")"),4.80616768E8)</f>
        <v>480616768</v>
      </c>
      <c r="M182" s="117">
        <f>IFERROR(__xludf.DUMMYFUNCTION("GOOGLEFINANCE(B182,""EPS"")"),55.34)</f>
        <v>55.34</v>
      </c>
      <c r="N182" s="117">
        <f>IFERROR(__xludf.DUMMYFUNCTION("GOOGLEFINANCE(B182,""PE"")"),22.99)</f>
        <v>22.99</v>
      </c>
      <c r="O182" s="10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</row>
    <row r="183">
      <c r="A183" s="117">
        <v>180.0</v>
      </c>
      <c r="B183" s="6" t="s">
        <v>319</v>
      </c>
      <c r="C183" s="6"/>
      <c r="D183" s="6"/>
      <c r="E183" s="6"/>
      <c r="F183" s="117">
        <f>IFERROR(__xludf.DUMMYFUNCTION("GOOGLEFINANCE(B183,""price"")"),4674.0)</f>
        <v>4674</v>
      </c>
      <c r="G183" s="117">
        <f>IFERROR(__xludf.DUMMYFUNCTION("GOOGLEFINANCE(B183,""closeyest"")"),4660.6)</f>
        <v>4660.6</v>
      </c>
      <c r="H183" s="117">
        <f>IFERROR(__xludf.DUMMYFUNCTION("GOOGLEFINANCE(B183,""LOW52"")"),4488.0)</f>
        <v>4488</v>
      </c>
      <c r="I183" s="117">
        <f>IFERROR(__xludf.DUMMYFUNCTION("GOOGLEFINANCE(B183,""HIGH52"")"),7493.05)</f>
        <v>7493.05</v>
      </c>
      <c r="J183" s="117">
        <f>IFERROR(__xludf.DUMMYFUNCTION("GOOGLEFINANCE(B183,""VOLUME"")"),476465.0)</f>
        <v>476465</v>
      </c>
      <c r="K183" s="117">
        <f>IFERROR(__xludf.DUMMYFUNCTION("GOOGLEFINANCE(B183,""marketcap"")"),1.663029948323E12)</f>
        <v>1663029948323</v>
      </c>
      <c r="L183" s="117">
        <f>IFERROR(__xludf.DUMMYFUNCTION("GOOGLEFINANCE(B183,""shares"")"),3.32316736E8)</f>
        <v>332316736</v>
      </c>
      <c r="M183" s="117">
        <f>IFERROR(__xludf.DUMMYFUNCTION("GOOGLEFINANCE(B183,""EPS"")"),44.56)</f>
        <v>44.56</v>
      </c>
      <c r="N183" s="117">
        <f>IFERROR(__xludf.DUMMYFUNCTION("GOOGLEFINANCE(B183,""PE"")"),104.89)</f>
        <v>104.89</v>
      </c>
      <c r="O183" s="10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</row>
    <row r="184">
      <c r="A184" s="117">
        <v>181.0</v>
      </c>
      <c r="B184" s="6" t="s">
        <v>320</v>
      </c>
      <c r="C184" s="6"/>
      <c r="D184" s="6"/>
      <c r="E184" s="6"/>
      <c r="F184" s="117">
        <f>IFERROR(__xludf.DUMMYFUNCTION("GOOGLEFINANCE(B184,""price"")"),3452.0)</f>
        <v>3452</v>
      </c>
      <c r="G184" s="117">
        <f>IFERROR(__xludf.DUMMYFUNCTION("GOOGLEFINANCE(B184,""closeyest"")"),3473.1)</f>
        <v>3473.1</v>
      </c>
      <c r="H184" s="117">
        <f>IFERROR(__xludf.DUMMYFUNCTION("GOOGLEFINANCE(B184,""LOW52"")"),2171.4)</f>
        <v>2171.4</v>
      </c>
      <c r="I184" s="117">
        <f>IFERROR(__xludf.DUMMYFUNCTION("GOOGLEFINANCE(B184,""HIGH52"")"),3720.0)</f>
        <v>3720</v>
      </c>
      <c r="J184" s="117">
        <f>IFERROR(__xludf.DUMMYFUNCTION("GOOGLEFINANCE(B184,""VOLUME"")"),972150.0)</f>
        <v>972150</v>
      </c>
      <c r="K184" s="117">
        <f>IFERROR(__xludf.DUMMYFUNCTION("GOOGLEFINANCE(B184,""marketcap"")"),1.6394210784E12)</f>
        <v>1639421078400</v>
      </c>
      <c r="L184" s="117">
        <f>IFERROR(__xludf.DUMMYFUNCTION("GOOGLEFINANCE(B184,""shares"")"),4.75087104E8)</f>
        <v>475087104</v>
      </c>
      <c r="M184" s="117">
        <f>IFERROR(__xludf.DUMMYFUNCTION("GOOGLEFINANCE(B184,""EPS"")"),55.14)</f>
        <v>55.14</v>
      </c>
      <c r="N184" s="117">
        <f>IFERROR(__xludf.DUMMYFUNCTION("GOOGLEFINANCE(B184,""PE"")"),62.61)</f>
        <v>62.61</v>
      </c>
      <c r="O184" s="10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</row>
    <row r="185">
      <c r="A185" s="117">
        <v>182.0</v>
      </c>
      <c r="B185" s="6" t="s">
        <v>321</v>
      </c>
      <c r="C185" s="6"/>
      <c r="D185" s="6"/>
      <c r="E185" s="6"/>
      <c r="F185" s="117">
        <f>IFERROR(__xludf.DUMMYFUNCTION("GOOGLEFINANCE(B185,""price"")"),1808.8)</f>
        <v>1808.8</v>
      </c>
      <c r="G185" s="117">
        <f>IFERROR(__xludf.DUMMYFUNCTION("GOOGLEFINANCE(B185,""closeyest"")"),1814.8)</f>
        <v>1814.8</v>
      </c>
      <c r="H185" s="117">
        <f>IFERROR(__xludf.DUMMYFUNCTION("GOOGLEFINANCE(B185,""LOW52"")"),1738.4)</f>
        <v>1738.4</v>
      </c>
      <c r="I185" s="117">
        <f>IFERROR(__xludf.DUMMYFUNCTION("GOOGLEFINANCE(B185,""HIGH52"")"),2299.7)</f>
        <v>2299.7</v>
      </c>
      <c r="J185" s="117">
        <f>IFERROR(__xludf.DUMMYFUNCTION("GOOGLEFINANCE(B185,""VOLUME"")"),86577.0)</f>
        <v>86577</v>
      </c>
      <c r="K185" s="117">
        <f>IFERROR(__xludf.DUMMYFUNCTION("GOOGLEFINANCE(B185,""marketcap"")"),4.7825595779E11)</f>
        <v>478255957790</v>
      </c>
      <c r="L185" s="117">
        <f>IFERROR(__xludf.DUMMYFUNCTION("GOOGLEFINANCE(B185,""shares"")"),2.64405152E8)</f>
        <v>264405152</v>
      </c>
      <c r="M185" s="117">
        <f>IFERROR(__xludf.DUMMYFUNCTION("GOOGLEFINANCE(B185,""EPS"")"),13.85)</f>
        <v>13.85</v>
      </c>
      <c r="N185" s="117">
        <f>IFERROR(__xludf.DUMMYFUNCTION("GOOGLEFINANCE(B185,""PE"")"),130.64)</f>
        <v>130.64</v>
      </c>
      <c r="O185" s="10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</row>
    <row r="186">
      <c r="A186" s="117">
        <v>183.0</v>
      </c>
      <c r="B186" s="6" t="s">
        <v>322</v>
      </c>
      <c r="C186" s="6"/>
      <c r="D186" s="6"/>
      <c r="E186" s="6"/>
      <c r="F186" s="117">
        <f>IFERROR(__xludf.DUMMYFUNCTION("GOOGLEFINANCE(B186,""price"")"),11942.0)</f>
        <v>11942</v>
      </c>
      <c r="G186" s="117">
        <f>IFERROR(__xludf.DUMMYFUNCTION("GOOGLEFINANCE(B186,""closeyest"")"),11819.0)</f>
        <v>11819</v>
      </c>
      <c r="H186" s="117">
        <f>IFERROR(__xludf.DUMMYFUNCTION("GOOGLEFINANCE(B186,""LOW52"")"),10047.85)</f>
        <v>10047.85</v>
      </c>
      <c r="I186" s="117">
        <f>IFERROR(__xludf.DUMMYFUNCTION("GOOGLEFINANCE(B186,""HIGH52"")"),13097.0)</f>
        <v>13097</v>
      </c>
      <c r="J186" s="117">
        <f>IFERROR(__xludf.DUMMYFUNCTION("GOOGLEFINANCE(B186,""VOLUME"")"),189652.0)</f>
        <v>189652</v>
      </c>
      <c r="K186" s="117">
        <f>IFERROR(__xludf.DUMMYFUNCTION("GOOGLEFINANCE(B186,""marketcap"")"),3.5120084496E12)</f>
        <v>3512008449600</v>
      </c>
      <c r="L186" s="117">
        <f>IFERROR(__xludf.DUMMYFUNCTION("GOOGLEFINANCE(B186,""shares"")"),2.74635776E8)</f>
        <v>274635776</v>
      </c>
      <c r="M186" s="117">
        <f>IFERROR(__xludf.DUMMYFUNCTION("GOOGLEFINANCE(B186,""EPS"")"),234.08)</f>
        <v>234.08</v>
      </c>
      <c r="N186" s="117">
        <f>IFERROR(__xludf.DUMMYFUNCTION("GOOGLEFINANCE(B186,""PE"")"),51.02)</f>
        <v>51.02</v>
      </c>
      <c r="O186" s="10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</row>
    <row r="187">
      <c r="A187" s="117">
        <v>184.0</v>
      </c>
      <c r="B187" s="126" t="s">
        <v>323</v>
      </c>
      <c r="C187" s="6"/>
      <c r="D187" s="6"/>
      <c r="E187" s="6"/>
      <c r="F187" s="117">
        <f>IFERROR(__xludf.DUMMYFUNCTION("GOOGLEFINANCE(B187,""price"")"),2.12)</f>
        <v>2.12</v>
      </c>
      <c r="G187" s="117">
        <f>IFERROR(__xludf.DUMMYFUNCTION("GOOGLEFINANCE(B187,""closeyest"")"),2.25)</f>
        <v>2.25</v>
      </c>
      <c r="H187" s="117">
        <f>IFERROR(__xludf.DUMMYFUNCTION("GOOGLEFINANCE(B187,""LOW52"")"),0.81)</f>
        <v>0.81</v>
      </c>
      <c r="I187" s="117">
        <f>IFERROR(__xludf.DUMMYFUNCTION("GOOGLEFINANCE(B187,""HIGH52"")"),2.7)</f>
        <v>2.7</v>
      </c>
      <c r="J187" s="117">
        <f>IFERROR(__xludf.DUMMYFUNCTION("GOOGLEFINANCE(B187,""VOLUME"")"),1311383.0)</f>
        <v>1311383</v>
      </c>
      <c r="K187" s="117">
        <f>IFERROR(__xludf.DUMMYFUNCTION("GOOGLEFINANCE(B187,""marketcap"")"),3.1977911E7)</f>
        <v>31977911</v>
      </c>
      <c r="L187" s="117">
        <f>IFERROR(__xludf.DUMMYFUNCTION("GOOGLEFINANCE(B187,""shares"")"),5.85512064E8)</f>
        <v>585512064</v>
      </c>
      <c r="M187" s="17" t="str">
        <f>IFERROR(__xludf.DUMMYFUNCTION("GOOGLEFINANCE(B187,""EPS"")"),"#N/A")</f>
        <v>#N/A</v>
      </c>
      <c r="N187" s="17" t="str">
        <f>IFERROR(__xludf.DUMMYFUNCTION("GOOGLEFINANCE(B187,""PE"")"),"#N/A")</f>
        <v>#N/A</v>
      </c>
      <c r="O187" s="10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</row>
    <row r="188">
      <c r="A188" s="117">
        <v>185.0</v>
      </c>
      <c r="B188" s="6" t="s">
        <v>324</v>
      </c>
      <c r="C188" s="6"/>
      <c r="D188" s="6"/>
      <c r="E188" s="6"/>
      <c r="F188" s="117">
        <f>IFERROR(__xludf.DUMMYFUNCTION("GOOGLEFINANCE(B188,""price"")"),505.0)</f>
        <v>505</v>
      </c>
      <c r="G188" s="117">
        <f>IFERROR(__xludf.DUMMYFUNCTION("GOOGLEFINANCE(B188,""closeyest"")"),508.15)</f>
        <v>508.15</v>
      </c>
      <c r="H188" s="117">
        <f>IFERROR(__xludf.DUMMYFUNCTION("GOOGLEFINANCE(B188,""LOW52"")"),363.0)</f>
        <v>363</v>
      </c>
      <c r="I188" s="117">
        <f>IFERROR(__xludf.DUMMYFUNCTION("GOOGLEFINANCE(B188,""HIGH52"")"),526.95)</f>
        <v>526.95</v>
      </c>
      <c r="J188" s="117">
        <f>IFERROR(__xludf.DUMMYFUNCTION("GOOGLEFINANCE(B188,""VOLUME"")"),7236023.0)</f>
        <v>7236023</v>
      </c>
      <c r="K188" s="117">
        <f>IFERROR(__xludf.DUMMYFUNCTION("GOOGLEFINANCE(B188,""marketcap"")"),1.875740337841E12)</f>
        <v>1875740337841</v>
      </c>
      <c r="L188" s="117">
        <f>IFERROR(__xludf.DUMMYFUNCTION("GOOGLEFINANCE(B188,""shares"")"),3.72E9)</f>
        <v>3720000000</v>
      </c>
      <c r="M188" s="117">
        <f>IFERROR(__xludf.DUMMYFUNCTION("GOOGLEFINANCE(B188,""EPS"")"),30.5)</f>
        <v>30.5</v>
      </c>
      <c r="N188" s="117">
        <f>IFERROR(__xludf.DUMMYFUNCTION("GOOGLEFINANCE(B188,""PE"")"),16.56)</f>
        <v>16.56</v>
      </c>
      <c r="O188" s="10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</row>
    <row r="189">
      <c r="A189" s="117">
        <v>186.0</v>
      </c>
      <c r="B189" s="6" t="s">
        <v>325</v>
      </c>
      <c r="C189" s="6"/>
      <c r="D189" s="6"/>
      <c r="E189" s="6"/>
      <c r="F189" s="117">
        <f>IFERROR(__xludf.DUMMYFUNCTION("GOOGLEFINANCE(B189,""price"")"),1299.0)</f>
        <v>1299</v>
      </c>
      <c r="G189" s="117">
        <f>IFERROR(__xludf.DUMMYFUNCTION("GOOGLEFINANCE(B189,""closeyest"")"),1359.4)</f>
        <v>1359.4</v>
      </c>
      <c r="H189" s="117">
        <f>IFERROR(__xludf.DUMMYFUNCTION("GOOGLEFINANCE(B189,""LOW52"")"),1135.0)</f>
        <v>1135</v>
      </c>
      <c r="I189" s="117">
        <f>IFERROR(__xludf.DUMMYFUNCTION("GOOGLEFINANCE(B189,""HIGH52"")"),1859.4)</f>
        <v>1859.4</v>
      </c>
      <c r="J189" s="117">
        <f>IFERROR(__xludf.DUMMYFUNCTION("GOOGLEFINANCE(B189,""VOLUME"")"),1703216.0)</f>
        <v>1703216</v>
      </c>
      <c r="K189" s="117">
        <f>IFERROR(__xludf.DUMMYFUNCTION("GOOGLEFINANCE(B189,""marketcap"")"),4.28428234575E11)</f>
        <v>428428234575</v>
      </c>
      <c r="L189" s="117">
        <f>IFERROR(__xludf.DUMMYFUNCTION("GOOGLEFINANCE(B189,""shares"")"),3.30884736E8)</f>
        <v>330884736</v>
      </c>
      <c r="M189" s="117">
        <f>IFERROR(__xludf.DUMMYFUNCTION("GOOGLEFINANCE(B189,""EPS"")"),19.58)</f>
        <v>19.58</v>
      </c>
      <c r="N189" s="117">
        <f>IFERROR(__xludf.DUMMYFUNCTION("GOOGLEFINANCE(B189,""PE"")"),66.35)</f>
        <v>66.35</v>
      </c>
      <c r="O189" s="10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</row>
    <row r="190">
      <c r="A190" s="117">
        <v>187.0</v>
      </c>
      <c r="B190" s="6" t="s">
        <v>326</v>
      </c>
      <c r="C190" s="6"/>
      <c r="D190" s="6"/>
      <c r="E190" s="6"/>
      <c r="F190" s="117">
        <f>IFERROR(__xludf.DUMMYFUNCTION("GOOGLEFINANCE(B190,""price"")"),1352.1)</f>
        <v>1352.1</v>
      </c>
      <c r="G190" s="117">
        <f>IFERROR(__xludf.DUMMYFUNCTION("GOOGLEFINANCE(B190,""closeyest"")"),1374.4)</f>
        <v>1374.4</v>
      </c>
      <c r="H190" s="117">
        <f>IFERROR(__xludf.DUMMYFUNCTION("GOOGLEFINANCE(B190,""LOW52"")"),899.0)</f>
        <v>899</v>
      </c>
      <c r="I190" s="117">
        <f>IFERROR(__xludf.DUMMYFUNCTION("GOOGLEFINANCE(B190,""HIGH52"")"),2122.9)</f>
        <v>2122.9</v>
      </c>
      <c r="J190" s="117">
        <f>IFERROR(__xludf.DUMMYFUNCTION("GOOGLEFINANCE(B190,""VOLUME"")"),518957.0)</f>
        <v>518957</v>
      </c>
      <c r="K190" s="117">
        <f>IFERROR(__xludf.DUMMYFUNCTION("GOOGLEFINANCE(B190,""marketcap"")"),1.71543357682E11)</f>
        <v>171543357682</v>
      </c>
      <c r="L190" s="117">
        <f>IFERROR(__xludf.DUMMYFUNCTION("GOOGLEFINANCE(B190,""shares"")"),1.2687E8)</f>
        <v>126870000</v>
      </c>
      <c r="M190" s="117">
        <f>IFERROR(__xludf.DUMMYFUNCTION("GOOGLEFINANCE(B190,""EPS"")"),28.45)</f>
        <v>28.45</v>
      </c>
      <c r="N190" s="117">
        <f>IFERROR(__xludf.DUMMYFUNCTION("GOOGLEFINANCE(B190,""PE"")"),47.53)</f>
        <v>47.53</v>
      </c>
      <c r="O190" s="10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</row>
    <row r="191">
      <c r="A191" s="117">
        <v>188.0</v>
      </c>
      <c r="B191" s="6" t="s">
        <v>327</v>
      </c>
      <c r="C191" s="6"/>
      <c r="D191" s="6"/>
      <c r="E191" s="6"/>
      <c r="F191" s="117">
        <f>IFERROR(__xludf.DUMMYFUNCTION("GOOGLEFINANCE(B191,""price"")"),240.05)</f>
        <v>240.05</v>
      </c>
      <c r="G191" s="117">
        <f>IFERROR(__xludf.DUMMYFUNCTION("GOOGLEFINANCE(B191,""closeyest"")"),237.92)</f>
        <v>237.92</v>
      </c>
      <c r="H191" s="117">
        <f>IFERROR(__xludf.DUMMYFUNCTION("GOOGLEFINANCE(B191,""LOW52"")"),228.0)</f>
        <v>228</v>
      </c>
      <c r="I191" s="117">
        <f>IFERROR(__xludf.DUMMYFUNCTION("GOOGLEFINANCE(B191,""HIGH52"")"),324.6)</f>
        <v>324.6</v>
      </c>
      <c r="J191" s="117">
        <f>IFERROR(__xludf.DUMMYFUNCTION("GOOGLEFINANCE(B191,""VOLUME"")"),7141517.0)</f>
        <v>7141517</v>
      </c>
      <c r="K191" s="117">
        <f>IFERROR(__xludf.DUMMYFUNCTION("GOOGLEFINANCE(B191,""marketcap"")"),2.5126392E12)</f>
        <v>2512639200000</v>
      </c>
      <c r="L191" s="117">
        <f>IFERROR(__xludf.DUMMYFUNCTION("GOOGLEFINANCE(B191,""shares"")"),4.502915584E9)</f>
        <v>4502915584</v>
      </c>
      <c r="M191" s="117">
        <f>IFERROR(__xludf.DUMMYFUNCTION("GOOGLEFINANCE(B191,""EPS"")"),12.86)</f>
        <v>12.86</v>
      </c>
      <c r="N191" s="117">
        <f>IFERROR(__xludf.DUMMYFUNCTION("GOOGLEFINANCE(B191,""PE"")"),18.66)</f>
        <v>18.66</v>
      </c>
      <c r="O191" s="10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</row>
    <row r="192">
      <c r="A192" s="117">
        <v>189.0</v>
      </c>
      <c r="B192" s="6" t="s">
        <v>328</v>
      </c>
      <c r="C192" s="6"/>
      <c r="D192" s="6"/>
      <c r="E192" s="6"/>
      <c r="F192" s="117">
        <f>IFERROR(__xludf.DUMMYFUNCTION("GOOGLEFINANCE(B192,""price"")"),99.83)</f>
        <v>99.83</v>
      </c>
      <c r="G192" s="117">
        <f>IFERROR(__xludf.DUMMYFUNCTION("GOOGLEFINANCE(B192,""closeyest"")"),101.95)</f>
        <v>101.95</v>
      </c>
      <c r="H192" s="117">
        <f>IFERROR(__xludf.DUMMYFUNCTION("GOOGLEFINANCE(B192,""LOW52"")"),89.32)</f>
        <v>89.32</v>
      </c>
      <c r="I192" s="117">
        <f>IFERROR(__xludf.DUMMYFUNCTION("GOOGLEFINANCE(B192,""HIGH52"")"),151.7)</f>
        <v>151.7</v>
      </c>
      <c r="J192" s="117">
        <f>IFERROR(__xludf.DUMMYFUNCTION("GOOGLEFINANCE(B192,""VOLUME"")"),3954189.0)</f>
        <v>3954189</v>
      </c>
      <c r="K192" s="117">
        <f>IFERROR(__xludf.DUMMYFUNCTION("GOOGLEFINANCE(B192,""marketcap"")"),9.575674815E10)</f>
        <v>95756748150</v>
      </c>
      <c r="L192" s="117">
        <f>IFERROR(__xludf.DUMMYFUNCTION("GOOGLEFINANCE(B192,""shares"")"),9.60466496E8)</f>
        <v>960466496</v>
      </c>
      <c r="M192" s="117">
        <f>IFERROR(__xludf.DUMMYFUNCTION("GOOGLEFINANCE(B192,""EPS"")"),5.89)</f>
        <v>5.89</v>
      </c>
      <c r="N192" s="117">
        <f>IFERROR(__xludf.DUMMYFUNCTION("GOOGLEFINANCE(B192,""PE"")"),16.94)</f>
        <v>16.94</v>
      </c>
      <c r="O192" s="10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</row>
    <row r="193">
      <c r="A193" s="117">
        <v>190.0</v>
      </c>
      <c r="B193" s="6" t="s">
        <v>329</v>
      </c>
      <c r="C193" s="6"/>
      <c r="D193" s="6"/>
      <c r="E193" s="6"/>
      <c r="F193" s="117">
        <f>IFERROR(__xludf.DUMMYFUNCTION("GOOGLEFINANCE(B193,""price"")"),934.8)</f>
        <v>934.8</v>
      </c>
      <c r="G193" s="117">
        <f>IFERROR(__xludf.DUMMYFUNCTION("GOOGLEFINANCE(B193,""closeyest"")"),971.7)</f>
        <v>971.7</v>
      </c>
      <c r="H193" s="117">
        <f>IFERROR(__xludf.DUMMYFUNCTION("GOOGLEFINANCE(B193,""LOW52"")"),795.0)</f>
        <v>795</v>
      </c>
      <c r="I193" s="117">
        <f>IFERROR(__xludf.DUMMYFUNCTION("GOOGLEFINANCE(B193,""HIGH52"")"),1059.05)</f>
        <v>1059.05</v>
      </c>
      <c r="J193" s="117">
        <f>IFERROR(__xludf.DUMMYFUNCTION("GOOGLEFINANCE(B193,""VOLUME"")"),2919859.0)</f>
        <v>2919859</v>
      </c>
      <c r="K193" s="117">
        <f>IFERROR(__xludf.DUMMYFUNCTION("GOOGLEFINANCE(B193,""marketcap"")"),9.40626596116E11)</f>
        <v>940626596116</v>
      </c>
      <c r="L193" s="17" t="str">
        <f>IFERROR(__xludf.DUMMYFUNCTION("GOOGLEFINANCE(B193,""shares"")"),"#N/A")</f>
        <v>#N/A</v>
      </c>
      <c r="M193" s="117">
        <f>IFERROR(__xludf.DUMMYFUNCTION("GOOGLEFINANCE(B193,""EPS"")"),45.44)</f>
        <v>45.44</v>
      </c>
      <c r="N193" s="117">
        <f>IFERROR(__xludf.DUMMYFUNCTION("GOOGLEFINANCE(B193,""PE"")"),20.57)</f>
        <v>20.57</v>
      </c>
      <c r="O193" s="10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10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10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10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10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10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10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10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10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10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10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10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10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10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10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10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10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10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10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10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10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10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10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10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10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10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10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10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10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10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10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10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10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10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10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10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10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10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10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10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10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10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10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10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10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10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10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10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10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10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10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10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10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10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10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10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10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10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10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10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10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10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10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10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10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10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10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10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10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10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10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10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10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10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10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10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10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10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10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10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10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10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10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10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10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10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10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10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10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10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10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10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10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10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10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10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10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10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10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10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10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10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10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10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10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10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10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10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10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10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10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10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10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10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10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10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10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10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10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10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10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10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10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10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10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10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10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10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10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10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10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10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10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10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10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10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10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10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10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10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10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10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10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10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10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10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10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10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10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10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10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10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10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10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10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10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10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10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10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10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10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10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10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10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10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10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10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10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10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10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10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10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10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10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10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10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10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10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10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10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10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10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10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10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10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10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10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10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10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10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10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10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10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10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10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10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10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10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10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10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10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10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10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10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10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10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10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10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10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10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10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10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10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10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10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10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10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10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10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10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10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10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10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10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10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10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10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10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10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10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10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10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10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10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10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10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10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10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10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10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10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10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10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10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10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10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10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10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10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10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10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10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10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10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10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10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10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10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10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10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10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10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10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10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10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10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10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10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10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10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10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10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10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10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10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10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10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10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10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10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10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10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10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10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10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10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10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10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10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10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10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10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10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10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10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10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10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10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10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10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10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10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10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10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10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10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10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10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10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10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10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10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10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10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10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10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10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10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10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10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10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10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10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10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10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10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10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10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10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10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10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10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10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10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10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10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10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10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10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10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10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10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10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10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10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10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10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10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10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10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10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10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10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10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10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10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10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10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10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10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10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10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10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10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10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10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10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10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10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10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10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10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10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10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10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10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10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10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10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10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10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10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10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10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10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10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10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10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10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10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10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10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10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10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10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10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10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10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10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10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10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10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10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10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10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10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10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10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10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10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10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10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10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10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10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10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10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10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10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10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10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10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10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10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10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10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10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10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10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10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10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10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10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10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10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10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10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10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10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10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10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10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10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10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10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10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10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10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10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10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10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10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10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10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10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10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10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10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10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10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10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10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10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10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10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10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10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10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10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10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10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10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10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10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10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10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10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10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10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10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10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10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10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10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10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10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10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10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10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10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10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10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10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10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10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10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10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10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10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10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10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10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10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10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10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10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10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10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10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10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10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10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10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10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10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10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10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10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10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10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10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10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10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10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10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10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10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10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10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10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10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10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10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10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10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10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10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10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10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10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10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10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10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10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10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10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10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10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10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10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10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10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10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10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10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10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10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10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10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10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10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10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10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10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10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10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10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10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10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10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10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10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10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10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10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10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10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10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10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10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10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10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10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10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10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10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10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10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10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10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10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10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10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10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10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10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10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10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10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10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10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10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10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10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10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10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10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10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10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10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10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10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10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10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10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10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10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10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10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10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10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10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10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10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10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10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10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10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10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10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10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10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10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10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10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10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10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10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10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10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10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10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10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10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10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10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10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10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10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10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10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10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10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10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10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10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10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10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10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10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10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10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10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10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10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10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10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10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10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10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10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10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10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10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10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10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10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10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10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10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10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10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10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10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10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10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10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10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10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10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10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10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10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10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10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10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10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10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10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10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10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10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10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10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10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10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10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10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10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10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10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10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10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10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10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10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10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10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10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10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10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10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10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10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10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10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10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10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10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10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10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10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10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10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10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10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10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10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10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10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10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10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10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10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10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10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10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10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10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10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10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10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10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10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10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10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10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10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10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10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  <c r="AI952" s="6"/>
      <c r="AJ952" s="6"/>
      <c r="AK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10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  <c r="AI953" s="6"/>
      <c r="AJ953" s="6"/>
      <c r="AK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10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  <c r="AI954" s="6"/>
      <c r="AJ954" s="6"/>
      <c r="AK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10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  <c r="AI955" s="6"/>
      <c r="AJ955" s="6"/>
      <c r="AK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10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  <c r="AI956" s="6"/>
      <c r="AJ956" s="6"/>
      <c r="AK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10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  <c r="AI957" s="6"/>
      <c r="AJ957" s="6"/>
      <c r="AK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10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  <c r="AI958" s="6"/>
      <c r="AJ958" s="6"/>
      <c r="AK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10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  <c r="AI959" s="6"/>
      <c r="AJ959" s="6"/>
      <c r="AK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10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  <c r="AI960" s="6"/>
      <c r="AJ960" s="6"/>
      <c r="AK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10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  <c r="AI961" s="6"/>
      <c r="AJ961" s="6"/>
      <c r="AK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10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  <c r="AI962" s="6"/>
      <c r="AJ962" s="6"/>
      <c r="AK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10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  <c r="AI963" s="6"/>
      <c r="AJ963" s="6"/>
      <c r="AK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10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  <c r="AI964" s="6"/>
      <c r="AJ964" s="6"/>
      <c r="AK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10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  <c r="AI965" s="6"/>
      <c r="AJ965" s="6"/>
      <c r="AK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10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  <c r="AI966" s="6"/>
      <c r="AJ966" s="6"/>
      <c r="AK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10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  <c r="AI967" s="6"/>
      <c r="AJ967" s="6"/>
      <c r="AK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10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  <c r="AI968" s="6"/>
      <c r="AJ968" s="6"/>
      <c r="AK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10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  <c r="AI969" s="6"/>
      <c r="AJ969" s="6"/>
      <c r="AK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10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  <c r="AI970" s="6"/>
      <c r="AJ970" s="6"/>
      <c r="AK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10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  <c r="AI971" s="6"/>
      <c r="AJ971" s="6"/>
      <c r="AK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10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  <c r="AI972" s="6"/>
      <c r="AJ972" s="6"/>
      <c r="AK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10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  <c r="AI973" s="6"/>
      <c r="AJ973" s="6"/>
      <c r="AK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10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  <c r="AI974" s="6"/>
      <c r="AJ974" s="6"/>
      <c r="AK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10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  <c r="AI975" s="6"/>
      <c r="AJ975" s="6"/>
      <c r="AK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10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  <c r="AI976" s="6"/>
      <c r="AJ976" s="6"/>
      <c r="AK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10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  <c r="AI977" s="6"/>
      <c r="AJ977" s="6"/>
      <c r="AK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10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  <c r="AI978" s="6"/>
      <c r="AJ978" s="6"/>
      <c r="AK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10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  <c r="AI979" s="6"/>
      <c r="AJ979" s="6"/>
      <c r="AK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10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  <c r="AI980" s="6"/>
      <c r="AJ980" s="6"/>
      <c r="AK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10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  <c r="AI981" s="6"/>
      <c r="AJ981" s="6"/>
      <c r="AK981" s="6"/>
    </row>
  </sheetData>
  <mergeCells count="3">
    <mergeCell ref="D2:D3"/>
    <mergeCell ref="F2:N2"/>
    <mergeCell ref="S2:W2"/>
  </mergeCells>
  <conditionalFormatting sqref="G5:G8 H7:H8">
    <cfRule type="containsText" dxfId="2" priority="1" operator="containsText" text="TRUE">
      <formula>NOT(ISERROR(SEARCH(("TRUE"),(G5))))</formula>
    </cfRule>
  </conditionalFormatting>
  <hyperlinks>
    <hyperlink r:id="rId1" ref="B1"/>
    <hyperlink r:id="rId2" ref="A2"/>
  </hyperlink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7" t="s">
        <v>330</v>
      </c>
      <c r="B1" s="19" t="s">
        <v>331</v>
      </c>
      <c r="C1" s="19" t="s">
        <v>45</v>
      </c>
      <c r="D1" s="19" t="s">
        <v>332</v>
      </c>
      <c r="E1" s="19" t="s">
        <v>333</v>
      </c>
      <c r="F1" s="19" t="s">
        <v>334</v>
      </c>
      <c r="G1" s="19" t="s">
        <v>10</v>
      </c>
    </row>
    <row r="2">
      <c r="A2" s="127">
        <v>1.0</v>
      </c>
      <c r="B2" s="19" t="s">
        <v>335</v>
      </c>
      <c r="C2" s="19" t="s">
        <v>264</v>
      </c>
      <c r="D2" s="19" t="s">
        <v>336</v>
      </c>
      <c r="E2" s="19">
        <v>0.51</v>
      </c>
      <c r="F2" s="19">
        <v>15452.0</v>
      </c>
      <c r="G2" s="19">
        <v>429800.0</v>
      </c>
    </row>
    <row r="3">
      <c r="A3" s="127">
        <v>2.0</v>
      </c>
      <c r="B3" s="19" t="s">
        <v>337</v>
      </c>
      <c r="C3" s="19" t="s">
        <v>338</v>
      </c>
      <c r="D3" s="19" t="s">
        <v>336</v>
      </c>
      <c r="E3" s="19">
        <v>-0.4</v>
      </c>
      <c r="F3" s="19">
        <v>2436.0</v>
      </c>
      <c r="G3" s="19">
        <v>1329256.0</v>
      </c>
    </row>
    <row r="4">
      <c r="A4" s="127">
        <v>3.0</v>
      </c>
      <c r="B4" s="19" t="s">
        <v>339</v>
      </c>
      <c r="C4" s="19" t="s">
        <v>288</v>
      </c>
      <c r="D4" s="19" t="s">
        <v>336</v>
      </c>
      <c r="E4" s="19">
        <v>-0.46</v>
      </c>
      <c r="F4" s="19">
        <v>5831.5</v>
      </c>
      <c r="G4" s="19">
        <v>341284.0</v>
      </c>
    </row>
    <row r="5">
      <c r="A5" s="127">
        <v>4.0</v>
      </c>
      <c r="B5" s="19" t="s">
        <v>340</v>
      </c>
      <c r="C5" s="19" t="s">
        <v>109</v>
      </c>
      <c r="D5" s="19" t="s">
        <v>336</v>
      </c>
      <c r="E5" s="19">
        <v>-0.63</v>
      </c>
      <c r="F5" s="19">
        <v>59.61</v>
      </c>
      <c r="G5" s="19">
        <v>1.47235071E8</v>
      </c>
    </row>
    <row r="6">
      <c r="A6" s="127">
        <v>5.0</v>
      </c>
      <c r="B6" s="19" t="s">
        <v>341</v>
      </c>
      <c r="C6" s="19" t="s">
        <v>242</v>
      </c>
      <c r="D6" s="19" t="s">
        <v>336</v>
      </c>
      <c r="E6" s="19">
        <v>-0.72</v>
      </c>
      <c r="F6" s="19">
        <v>603.2</v>
      </c>
      <c r="G6" s="19">
        <v>563719.0</v>
      </c>
    </row>
    <row r="7">
      <c r="A7" s="127">
        <v>6.0</v>
      </c>
      <c r="B7" s="19" t="s">
        <v>342</v>
      </c>
      <c r="C7" s="19" t="s">
        <v>343</v>
      </c>
      <c r="D7" s="19" t="s">
        <v>336</v>
      </c>
      <c r="E7" s="19">
        <v>-0.92</v>
      </c>
      <c r="F7" s="19">
        <v>150.15</v>
      </c>
      <c r="G7" s="19">
        <v>1.0297486E7</v>
      </c>
    </row>
    <row r="8">
      <c r="A8" s="127">
        <v>7.0</v>
      </c>
      <c r="B8" s="19" t="s">
        <v>344</v>
      </c>
      <c r="C8" s="19" t="s">
        <v>200</v>
      </c>
      <c r="D8" s="19" t="s">
        <v>336</v>
      </c>
      <c r="E8" s="19">
        <v>-1.17</v>
      </c>
      <c r="F8" s="19">
        <v>373.15</v>
      </c>
      <c r="G8" s="19">
        <v>6648919.0</v>
      </c>
    </row>
    <row r="9">
      <c r="A9" s="127">
        <v>8.0</v>
      </c>
      <c r="B9" s="19" t="s">
        <v>345</v>
      </c>
      <c r="C9" s="19" t="s">
        <v>193</v>
      </c>
      <c r="D9" s="19" t="s">
        <v>336</v>
      </c>
      <c r="E9" s="19">
        <v>-1.34</v>
      </c>
      <c r="F9" s="19">
        <v>367.95</v>
      </c>
      <c r="G9" s="19">
        <v>1.1803637E7</v>
      </c>
    </row>
    <row r="10">
      <c r="A10" s="127">
        <v>9.0</v>
      </c>
      <c r="B10" s="19" t="s">
        <v>346</v>
      </c>
      <c r="C10" s="19" t="s">
        <v>220</v>
      </c>
      <c r="D10" s="19" t="s">
        <v>336</v>
      </c>
      <c r="E10" s="19">
        <v>-1.45</v>
      </c>
      <c r="F10" s="19">
        <v>178.98</v>
      </c>
      <c r="G10" s="19">
        <v>8609714.0</v>
      </c>
    </row>
    <row r="11">
      <c r="A11" s="127">
        <v>10.0</v>
      </c>
      <c r="B11" s="19" t="s">
        <v>347</v>
      </c>
      <c r="C11" s="19" t="s">
        <v>22</v>
      </c>
      <c r="D11" s="19" t="s">
        <v>336</v>
      </c>
      <c r="E11" s="19">
        <v>-1.71</v>
      </c>
      <c r="F11" s="19">
        <v>1143.5</v>
      </c>
      <c r="G11" s="19">
        <v>2222520.0</v>
      </c>
    </row>
    <row r="12">
      <c r="A12" s="127">
        <v>11.0</v>
      </c>
      <c r="B12" s="19" t="s">
        <v>348</v>
      </c>
      <c r="C12" s="19" t="s">
        <v>118</v>
      </c>
      <c r="D12" s="19" t="s">
        <v>336</v>
      </c>
      <c r="E12" s="19">
        <v>-1.87</v>
      </c>
      <c r="F12" s="19">
        <v>246.14</v>
      </c>
      <c r="G12" s="19">
        <v>3367771.0</v>
      </c>
    </row>
    <row r="13">
      <c r="A13" s="127">
        <v>12.0</v>
      </c>
      <c r="B13" s="19" t="s">
        <v>349</v>
      </c>
      <c r="C13" s="19" t="s">
        <v>221</v>
      </c>
      <c r="D13" s="19" t="s">
        <v>336</v>
      </c>
      <c r="E13" s="19">
        <v>-1.88</v>
      </c>
      <c r="F13" s="19">
        <v>1810.4</v>
      </c>
      <c r="G13" s="19">
        <v>356062.0</v>
      </c>
    </row>
    <row r="14">
      <c r="A14" s="127">
        <v>13.0</v>
      </c>
      <c r="B14" s="19" t="s">
        <v>350</v>
      </c>
      <c r="C14" s="19" t="s">
        <v>289</v>
      </c>
      <c r="D14" s="19" t="s">
        <v>336</v>
      </c>
      <c r="E14" s="19">
        <v>-1.96</v>
      </c>
      <c r="F14" s="19">
        <v>275.0</v>
      </c>
      <c r="G14" s="19">
        <v>1793814.0</v>
      </c>
    </row>
    <row r="15">
      <c r="A15" s="127">
        <v>14.0</v>
      </c>
      <c r="B15" s="19" t="s">
        <v>351</v>
      </c>
      <c r="C15" s="19" t="s">
        <v>352</v>
      </c>
      <c r="D15" s="19" t="s">
        <v>336</v>
      </c>
      <c r="E15" s="19">
        <v>-2.07</v>
      </c>
      <c r="F15" s="19">
        <v>152.93</v>
      </c>
      <c r="G15" s="19">
        <v>1.2978526E7</v>
      </c>
    </row>
    <row r="16">
      <c r="A16" s="127">
        <v>15.0</v>
      </c>
      <c r="B16" s="19" t="s">
        <v>353</v>
      </c>
      <c r="C16" s="19" t="s">
        <v>192</v>
      </c>
      <c r="D16" s="19" t="s">
        <v>336</v>
      </c>
      <c r="E16" s="19">
        <v>-2.19</v>
      </c>
      <c r="F16" s="19">
        <v>37020.0</v>
      </c>
      <c r="G16" s="19">
        <v>28881.0</v>
      </c>
    </row>
    <row r="17">
      <c r="A17" s="127">
        <v>16.0</v>
      </c>
      <c r="B17" s="19" t="s">
        <v>354</v>
      </c>
      <c r="C17" s="19" t="s">
        <v>116</v>
      </c>
      <c r="D17" s="19" t="s">
        <v>336</v>
      </c>
      <c r="E17" s="19">
        <v>-2.26</v>
      </c>
      <c r="F17" s="19">
        <v>120.46</v>
      </c>
      <c r="G17" s="19">
        <v>1.8902722E7</v>
      </c>
    </row>
    <row r="18">
      <c r="A18" s="127">
        <v>17.0</v>
      </c>
      <c r="B18" s="19" t="s">
        <v>355</v>
      </c>
      <c r="C18" s="19" t="s">
        <v>237</v>
      </c>
      <c r="D18" s="19" t="s">
        <v>336</v>
      </c>
      <c r="E18" s="19">
        <v>-2.41</v>
      </c>
      <c r="F18" s="19">
        <v>473.15</v>
      </c>
      <c r="G18" s="19">
        <v>5156374.0</v>
      </c>
    </row>
    <row r="19">
      <c r="A19" s="127">
        <v>18.0</v>
      </c>
      <c r="B19" s="19" t="s">
        <v>356</v>
      </c>
      <c r="C19" s="19" t="s">
        <v>357</v>
      </c>
      <c r="D19" s="19" t="s">
        <v>336</v>
      </c>
      <c r="E19" s="19">
        <v>-2.57</v>
      </c>
      <c r="F19" s="19">
        <v>5242.5</v>
      </c>
      <c r="G19" s="19">
        <v>222432.0</v>
      </c>
    </row>
    <row r="20">
      <c r="A20" s="127">
        <v>19.0</v>
      </c>
      <c r="B20" s="19" t="s">
        <v>358</v>
      </c>
      <c r="C20" s="19" t="s">
        <v>202</v>
      </c>
      <c r="D20" s="19" t="s">
        <v>336</v>
      </c>
      <c r="E20" s="19">
        <v>-4.27</v>
      </c>
      <c r="F20" s="19">
        <v>519.35</v>
      </c>
      <c r="G20" s="19">
        <v>4558191.0</v>
      </c>
    </row>
    <row r="21">
      <c r="A21" s="127">
        <v>20.0</v>
      </c>
      <c r="B21" s="19" t="s">
        <v>359</v>
      </c>
      <c r="C21" s="19" t="s">
        <v>360</v>
      </c>
      <c r="D21" s="19" t="s">
        <v>336</v>
      </c>
      <c r="E21" s="19">
        <v>-4.51</v>
      </c>
      <c r="F21" s="19">
        <v>6358.5</v>
      </c>
      <c r="G21" s="19">
        <v>1539950.0</v>
      </c>
    </row>
    <row r="22">
      <c r="A22" s="19">
        <v>21.0</v>
      </c>
      <c r="B22" s="19" t="s">
        <v>361</v>
      </c>
      <c r="C22" s="19" t="s">
        <v>362</v>
      </c>
      <c r="D22" s="19" t="s">
        <v>336</v>
      </c>
      <c r="E22" s="19">
        <v>-8.71</v>
      </c>
      <c r="F22" s="19">
        <v>442.6</v>
      </c>
      <c r="G22" s="19">
        <v>2.0671254E7</v>
      </c>
    </row>
  </sheetData>
  <drawing r:id="rId1"/>
</worksheet>
</file>